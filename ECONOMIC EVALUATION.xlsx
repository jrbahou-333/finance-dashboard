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pivotTables/pivotTable3.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ables/table5.xml" ContentType="application/vnd.openxmlformats-officedocument.spreadsheetml.table+xml"/>
  <Override PartName="/xl/drawings/drawing2.xml" ContentType="application/vnd.openxmlformats-officedocument.drawing+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drawings/drawing3.xml" ContentType="application/vnd.openxmlformats-officedocument.drawing+xml"/>
  <Override PartName="/xl/tables/table6.xml" ContentType="application/vnd.openxmlformats-officedocument.spreadsheetml.tab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166925"/>
  <mc:AlternateContent xmlns:mc="http://schemas.openxmlformats.org/markup-compatibility/2006">
    <mc:Choice Requires="x15">
      <x15ac:absPath xmlns:x15ac="http://schemas.microsoft.com/office/spreadsheetml/2010/11/ac" url="/Users/jackbahou/Documents/Python/Personal Projects/FinanceDashboard/"/>
    </mc:Choice>
  </mc:AlternateContent>
  <xr:revisionPtr revIDLastSave="0" documentId="8_{1E539289-395C-3542-8C66-1121A83839A0}" xr6:coauthVersionLast="47" xr6:coauthVersionMax="47" xr10:uidLastSave="{00000000-0000-0000-0000-000000000000}"/>
  <bookViews>
    <workbookView xWindow="20" yWindow="500" windowWidth="28800" windowHeight="16260" xr2:uid="{00000000-000D-0000-FFFF-FFFF00000000}"/>
  </bookViews>
  <sheets>
    <sheet name="Net Worth Dashboard" sheetId="2" r:id="rId1"/>
    <sheet name="Net Worth Input" sheetId="9" r:id="rId2"/>
    <sheet name="Montly Expenses" sheetId="7" r:id="rId3"/>
    <sheet name="Other Expenditure" sheetId="12" r:id="rId4"/>
    <sheet name="Calcs" sheetId="11" r:id="rId5"/>
    <sheet name="Projections" sheetId="14" r:id="rId6"/>
    <sheet name="WEEKLY" sheetId="6" r:id="rId7"/>
    <sheet name="PENSION" sheetId="5" r:id="rId8"/>
    <sheet name="CRYPTO" sheetId="4" r:id="rId9"/>
    <sheet name="GOALS" sheetId="8" r:id="rId10"/>
    <sheet name="Lists" sheetId="10" r:id="rId11"/>
  </sheets>
  <definedNames>
    <definedName name="_xlnm._FilterDatabase" localSheetId="2" hidden="1">'Other Expenditure'!$B$3:$F$3</definedName>
    <definedName name="Accounts">Lists!$B$3:$B$13</definedName>
    <definedName name="ExpenditureCat">Lists!$B$29:$B$41</definedName>
    <definedName name="Income">'Montly Expenses'!$B$3:$F$6</definedName>
    <definedName name="Invested">Table2[#All]</definedName>
    <definedName name="OtherExpenditureCat">Lists!$B$16:$B$26</definedName>
    <definedName name="Slicer_Account">#N/A</definedName>
    <definedName name="solver_adj" localSheetId="8" hidden="1">CRYPTO!$G$21</definedName>
    <definedName name="solver_cvg" localSheetId="8" hidden="1">0.0001</definedName>
    <definedName name="solver_drv" localSheetId="8" hidden="1">1</definedName>
    <definedName name="solver_eng" localSheetId="8" hidden="1">1</definedName>
    <definedName name="solver_itr" localSheetId="8" hidden="1">2147483647</definedName>
    <definedName name="solver_lin" localSheetId="8" hidden="1">2</definedName>
    <definedName name="solver_mip" localSheetId="8" hidden="1">2147483647</definedName>
    <definedName name="solver_mni" localSheetId="8" hidden="1">30</definedName>
    <definedName name="solver_mrt" localSheetId="8" hidden="1">0.075</definedName>
    <definedName name="solver_msl" localSheetId="8" hidden="1">2</definedName>
    <definedName name="solver_neg" localSheetId="8" hidden="1">1</definedName>
    <definedName name="solver_nod" localSheetId="8" hidden="1">2147483647</definedName>
    <definedName name="solver_num" localSheetId="8" hidden="1">0</definedName>
    <definedName name="solver_opt" localSheetId="8" hidden="1">CRYPTO!$L$21</definedName>
    <definedName name="solver_pre" localSheetId="8" hidden="1">0.000001</definedName>
    <definedName name="solver_rbv" localSheetId="8" hidden="1">1</definedName>
    <definedName name="solver_rlx" localSheetId="8" hidden="1">2</definedName>
    <definedName name="solver_rsd" localSheetId="8" hidden="1">0</definedName>
    <definedName name="solver_scl" localSheetId="8" hidden="1">1</definedName>
    <definedName name="solver_sho" localSheetId="8" hidden="1">2</definedName>
    <definedName name="solver_ssz" localSheetId="8" hidden="1">100</definedName>
    <definedName name="solver_tim" localSheetId="8" hidden="1">2147483647</definedName>
    <definedName name="solver_tol" localSheetId="8" hidden="1">0.01</definedName>
    <definedName name="solver_typ" localSheetId="8" hidden="1">3</definedName>
    <definedName name="solver_val" localSheetId="8" hidden="1">0</definedName>
    <definedName name="solver_ver" localSheetId="8" hidden="1">2</definedName>
    <definedName name="Test_outgoing" localSheetId="6">WEEKLY!#REF!</definedName>
    <definedName name="Test_outgoing">#REF!</definedName>
  </definedNames>
  <calcPr calcId="191029"/>
  <pivotCaches>
    <pivotCache cacheId="5"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14" l="1"/>
  <c r="D12" i="9"/>
  <c r="E12" i="9" s="1"/>
  <c r="D13" i="9"/>
  <c r="E13" i="9" s="1"/>
  <c r="D14" i="9"/>
  <c r="E14" i="9" s="1"/>
  <c r="D15" i="9"/>
  <c r="E15" i="9" s="1"/>
  <c r="D16" i="9"/>
  <c r="E16" i="9" s="1"/>
  <c r="D17" i="9"/>
  <c r="E17" i="9" s="1"/>
  <c r="D18" i="9"/>
  <c r="E18" i="9" s="1"/>
  <c r="D19" i="9"/>
  <c r="E19" i="9" s="1"/>
  <c r="F34" i="7"/>
  <c r="D20" i="9"/>
  <c r="E20" i="9" s="1"/>
  <c r="D21" i="9"/>
  <c r="E21" i="9" s="1"/>
  <c r="D22" i="9"/>
  <c r="E22" i="9" s="1"/>
  <c r="D23" i="9"/>
  <c r="E23" i="9" s="1"/>
  <c r="D24" i="9"/>
  <c r="E24" i="9" s="1"/>
  <c r="D25" i="9"/>
  <c r="E25" i="9" s="1"/>
  <c r="D26" i="9"/>
  <c r="E26" i="9" s="1"/>
  <c r="D27" i="9"/>
  <c r="E27" i="9" s="1"/>
  <c r="D28" i="9"/>
  <c r="E28" i="9" s="1"/>
  <c r="D29" i="9"/>
  <c r="E29" i="9" s="1"/>
  <c r="D30" i="9"/>
  <c r="E30" i="9" s="1"/>
  <c r="D31" i="9"/>
  <c r="E31" i="9" s="1"/>
  <c r="D32" i="9"/>
  <c r="E32" i="9" s="1"/>
  <c r="D33" i="9"/>
  <c r="E33" i="9" s="1"/>
  <c r="D34" i="9"/>
  <c r="E34" i="9" s="1"/>
  <c r="D35" i="9"/>
  <c r="E35" i="9" s="1"/>
  <c r="D25" i="7"/>
  <c r="D36" i="9"/>
  <c r="E36" i="9" s="1"/>
  <c r="D37" i="9"/>
  <c r="E37" i="9" s="1"/>
  <c r="D38" i="9"/>
  <c r="E38" i="9" s="1"/>
  <c r="D39" i="9"/>
  <c r="D40" i="9"/>
  <c r="E40" i="9" s="1"/>
  <c r="D41" i="9"/>
  <c r="E41" i="9" s="1"/>
  <c r="D42" i="9"/>
  <c r="E42" i="9" s="1"/>
  <c r="E39" i="9"/>
  <c r="C29" i="11"/>
  <c r="D43" i="9"/>
  <c r="E43" i="9" s="1"/>
  <c r="D44" i="9"/>
  <c r="E44" i="9" s="1"/>
  <c r="D45" i="9"/>
  <c r="E45" i="9" s="1"/>
  <c r="D46" i="9"/>
  <c r="E46" i="9" s="1"/>
  <c r="D47" i="9"/>
  <c r="E47" i="9" s="1"/>
  <c r="D48" i="9"/>
  <c r="E48" i="9" s="1"/>
  <c r="D49" i="9"/>
  <c r="E49" i="9" s="1"/>
  <c r="D50" i="9"/>
  <c r="E50" i="9" s="1"/>
  <c r="D51" i="9"/>
  <c r="E51" i="9" s="1"/>
  <c r="D52" i="9"/>
  <c r="E52" i="9" s="1"/>
  <c r="D53" i="9"/>
  <c r="E53" i="9" s="1"/>
  <c r="D54" i="9"/>
  <c r="E54" i="9" s="1"/>
  <c r="D55" i="9"/>
  <c r="E55" i="9" s="1"/>
  <c r="D56" i="9"/>
  <c r="E56" i="9" s="1"/>
  <c r="D21" i="7"/>
  <c r="G24" i="7"/>
  <c r="G25" i="7"/>
  <c r="G26" i="7"/>
  <c r="G27" i="7"/>
  <c r="G28" i="7"/>
  <c r="G29" i="7"/>
  <c r="G30" i="7"/>
  <c r="G31" i="7"/>
  <c r="G32" i="7"/>
  <c r="G33" i="7"/>
  <c r="F25" i="7"/>
  <c r="D24" i="7"/>
  <c r="D57" i="9"/>
  <c r="E57" i="9" s="1"/>
  <c r="D58" i="9"/>
  <c r="E58" i="9" s="1"/>
  <c r="D59" i="9"/>
  <c r="E59" i="9" s="1"/>
  <c r="D60" i="9"/>
  <c r="E60" i="9" s="1"/>
  <c r="D61" i="9"/>
  <c r="E61" i="9" s="1"/>
  <c r="D62" i="9"/>
  <c r="E62" i="9" s="1"/>
  <c r="D63" i="9"/>
  <c r="E63" i="9" s="1"/>
  <c r="C16" i="11"/>
  <c r="C17" i="11"/>
  <c r="C18" i="11"/>
  <c r="C19" i="11"/>
  <c r="C20" i="11"/>
  <c r="C21" i="11"/>
  <c r="C22" i="11"/>
  <c r="C23" i="11"/>
  <c r="C24" i="11"/>
  <c r="C25" i="11"/>
  <c r="C26" i="11"/>
  <c r="C27" i="11"/>
  <c r="C28" i="11"/>
  <c r="F33" i="7"/>
  <c r="F32" i="7"/>
  <c r="F31" i="7"/>
  <c r="F30" i="7"/>
  <c r="F29" i="7"/>
  <c r="F28" i="7"/>
  <c r="F27" i="7"/>
  <c r="F26" i="7"/>
  <c r="F24" i="7"/>
  <c r="D64" i="9"/>
  <c r="E64" i="9" s="1"/>
  <c r="D65" i="9"/>
  <c r="E65" i="9" s="1"/>
  <c r="D66" i="9"/>
  <c r="E66" i="9" s="1"/>
  <c r="D67" i="9"/>
  <c r="E67" i="9" s="1"/>
  <c r="D68" i="9"/>
  <c r="E68" i="9" s="1"/>
  <c r="D69" i="9"/>
  <c r="E69" i="9" s="1"/>
  <c r="D70" i="9"/>
  <c r="E70" i="9" s="1"/>
  <c r="D71" i="9"/>
  <c r="E71" i="9" s="1"/>
  <c r="D72" i="9"/>
  <c r="E72" i="9" s="1"/>
  <c r="D73" i="9"/>
  <c r="E73" i="9" s="1"/>
  <c r="D74" i="9"/>
  <c r="E74" i="9" s="1"/>
  <c r="D75" i="9"/>
  <c r="E75" i="9" s="1"/>
  <c r="D76" i="9"/>
  <c r="E76" i="9" s="1"/>
  <c r="D77" i="9"/>
  <c r="E77" i="9" s="1"/>
  <c r="D78" i="9"/>
  <c r="E78" i="9" s="1"/>
  <c r="D79" i="9"/>
  <c r="E79" i="9" s="1"/>
  <c r="D80" i="9"/>
  <c r="E80" i="9" s="1"/>
  <c r="D81" i="9"/>
  <c r="E81" i="9" s="1"/>
  <c r="D82" i="9"/>
  <c r="E82" i="9" s="1"/>
  <c r="D83" i="9"/>
  <c r="E83" i="9" s="1"/>
  <c r="D84" i="9"/>
  <c r="E84" i="9" s="1"/>
  <c r="C88" i="9"/>
  <c r="D85" i="9"/>
  <c r="E85" i="9" s="1"/>
  <c r="D86" i="9"/>
  <c r="E86" i="9" s="1"/>
  <c r="D87" i="9"/>
  <c r="E87" i="9" s="1"/>
  <c r="D88" i="9"/>
  <c r="E88" i="9" s="1"/>
  <c r="D89" i="9"/>
  <c r="E89" i="9" s="1"/>
  <c r="D90" i="9"/>
  <c r="E90" i="9" s="1"/>
  <c r="D91" i="9"/>
  <c r="E91" i="9" s="1"/>
  <c r="D92" i="9"/>
  <c r="E92" i="9" s="1"/>
  <c r="D93" i="9"/>
  <c r="E93" i="9" s="1"/>
  <c r="D94" i="9"/>
  <c r="E94" i="9" s="1"/>
  <c r="D95" i="9"/>
  <c r="E95" i="9" s="1"/>
  <c r="D96" i="9"/>
  <c r="E96" i="9" s="1"/>
  <c r="D97" i="9"/>
  <c r="E97" i="9" s="1"/>
  <c r="D98" i="9"/>
  <c r="E98" i="9" s="1"/>
  <c r="C99" i="9"/>
  <c r="D100" i="9"/>
  <c r="E100" i="9" s="1"/>
  <c r="D101" i="9"/>
  <c r="E101" i="9" s="1"/>
  <c r="D102" i="9"/>
  <c r="E102" i="9" s="1"/>
  <c r="D103" i="9"/>
  <c r="E103" i="9" s="1"/>
  <c r="D104" i="9"/>
  <c r="E104" i="9" s="1"/>
  <c r="D105" i="9"/>
  <c r="E105" i="9" s="1"/>
  <c r="C107" i="9"/>
  <c r="D107" i="9" s="1"/>
  <c r="E107" i="9" s="1"/>
  <c r="C108" i="9"/>
  <c r="D108" i="9" s="1"/>
  <c r="E108" i="9" s="1"/>
  <c r="C109" i="9"/>
  <c r="D109" i="9" s="1"/>
  <c r="E109" i="9" s="1"/>
  <c r="C110" i="9"/>
  <c r="D110" i="9" s="1"/>
  <c r="E110" i="9" s="1"/>
  <c r="C111" i="9"/>
  <c r="D111" i="9" s="1"/>
  <c r="E111" i="9" s="1"/>
  <c r="C112" i="9"/>
  <c r="D112" i="9" s="1"/>
  <c r="E112" i="9" s="1"/>
  <c r="C106" i="9"/>
  <c r="D106" i="9" s="1"/>
  <c r="E106" i="9" s="1"/>
  <c r="D114" i="9"/>
  <c r="E114" i="9" s="1"/>
  <c r="D115" i="9"/>
  <c r="E115" i="9" s="1"/>
  <c r="D116" i="9"/>
  <c r="E116" i="9" s="1"/>
  <c r="D117" i="9"/>
  <c r="E117" i="9" s="1"/>
  <c r="D118" i="9"/>
  <c r="E118" i="9" s="1"/>
  <c r="D119" i="9"/>
  <c r="E119" i="9" s="1"/>
  <c r="D113" i="9"/>
  <c r="E113" i="9" s="1"/>
  <c r="E14" i="14"/>
  <c r="D5" i="14"/>
  <c r="E5" i="14"/>
  <c r="E9" i="14"/>
  <c r="E6" i="14"/>
  <c r="E7" i="14" s="1"/>
  <c r="E11" i="14"/>
  <c r="E12" i="14" s="1"/>
  <c r="E8" i="14"/>
  <c r="E13" i="14"/>
  <c r="E10" i="14"/>
  <c r="D99" i="9" l="1"/>
  <c r="E99" i="9" s="1"/>
  <c r="C9" i="11"/>
  <c r="C10" i="11"/>
  <c r="C11" i="11"/>
  <c r="C12" i="11"/>
  <c r="C13" i="11"/>
  <c r="C14" i="11"/>
  <c r="C15" i="11"/>
  <c r="F15" i="7"/>
  <c r="F16" i="7"/>
  <c r="D14" i="7"/>
  <c r="F14" i="7" s="1"/>
  <c r="AP6" i="6"/>
  <c r="AQ6" i="6"/>
  <c r="AR6" i="6"/>
  <c r="AS6" i="6"/>
  <c r="AT6" i="6"/>
  <c r="AU6" i="6"/>
  <c r="AV6" i="6"/>
  <c r="AW6" i="6"/>
  <c r="AX6" i="6"/>
  <c r="AY6" i="6"/>
  <c r="AP16" i="6"/>
  <c r="AQ16" i="6"/>
  <c r="AR16" i="6"/>
  <c r="AS16" i="6"/>
  <c r="AT16" i="6"/>
  <c r="AU16" i="6"/>
  <c r="AV16" i="6"/>
  <c r="AW16" i="6"/>
  <c r="AX16" i="6"/>
  <c r="AY16" i="6"/>
  <c r="E4" i="8"/>
  <c r="B17" i="11" l="1" a="1"/>
  <c r="B17" i="11" s="1"/>
  <c r="D17" i="11" s="1"/>
  <c r="B11" i="14" s="1"/>
  <c r="B21" i="11" a="1"/>
  <c r="B21" i="11" s="1"/>
  <c r="B25" i="11" a="1"/>
  <c r="B25" i="11" s="1"/>
  <c r="D25" i="11" s="1"/>
  <c r="F25" i="11" s="1"/>
  <c r="C19" i="14" s="1"/>
  <c r="B14" i="11" a="1"/>
  <c r="B14" i="11" s="1"/>
  <c r="B18" i="11" a="1"/>
  <c r="B18" i="11" s="1"/>
  <c r="D18" i="11" s="1"/>
  <c r="B22" i="11" a="1"/>
  <c r="B22" i="11" s="1"/>
  <c r="B29" i="11" a="1"/>
  <c r="B29" i="11" s="1"/>
  <c r="D29" i="11" s="1"/>
  <c r="B26" i="11" a="1"/>
  <c r="B26" i="11" s="1"/>
  <c r="D26" i="11" s="1"/>
  <c r="B20" i="14" s="1"/>
  <c r="B15" i="11" a="1"/>
  <c r="B15" i="11" s="1"/>
  <c r="B19" i="11" a="1"/>
  <c r="B19" i="11" s="1"/>
  <c r="B23" i="11" a="1"/>
  <c r="B23" i="11" s="1"/>
  <c r="D23" i="11" s="1"/>
  <c r="B17" i="14" s="1"/>
  <c r="B27" i="11" a="1"/>
  <c r="B27" i="11" s="1"/>
  <c r="D27" i="11" s="1"/>
  <c r="B16" i="11" a="1"/>
  <c r="B16" i="11" s="1"/>
  <c r="B20" i="11" a="1"/>
  <c r="B20" i="11" s="1"/>
  <c r="B24" i="11" a="1"/>
  <c r="B24" i="11" s="1"/>
  <c r="D24" i="11" s="1"/>
  <c r="B18" i="14" s="1"/>
  <c r="B28" i="11" a="1"/>
  <c r="B28" i="11" s="1"/>
  <c r="G34" i="7"/>
  <c r="D20" i="11"/>
  <c r="B14" i="14" s="1"/>
  <c r="D28" i="11"/>
  <c r="B22" i="14" s="1"/>
  <c r="D22" i="11"/>
  <c r="B16" i="14" s="1"/>
  <c r="D19" i="11"/>
  <c r="D21" i="11"/>
  <c r="F21" i="11" s="1"/>
  <c r="C15" i="14" s="1"/>
  <c r="F18" i="7"/>
  <c r="D6" i="8"/>
  <c r="E6" i="8" s="1"/>
  <c r="D5" i="8"/>
  <c r="E5" i="8" s="1"/>
  <c r="D7" i="8"/>
  <c r="E7" i="8" s="1"/>
  <c r="E3" i="8"/>
  <c r="B17" i="5"/>
  <c r="B15" i="5"/>
  <c r="F13" i="7"/>
  <c r="F17" i="7"/>
  <c r="F11" i="7"/>
  <c r="F12" i="7"/>
  <c r="F10" i="7"/>
  <c r="F5" i="7"/>
  <c r="F6" i="7" s="1"/>
  <c r="B4" i="11" s="1"/>
  <c r="D3" i="6"/>
  <c r="E3" i="6" s="1"/>
  <c r="F28" i="11" l="1"/>
  <c r="C22" i="14" s="1"/>
  <c r="F29" i="11"/>
  <c r="C23" i="14" s="1"/>
  <c r="B23" i="14"/>
  <c r="F20" i="11"/>
  <c r="C14" i="14" s="1"/>
  <c r="F26" i="11"/>
  <c r="C20" i="14" s="1"/>
  <c r="B15" i="14"/>
  <c r="F23" i="11"/>
  <c r="C17" i="14" s="1"/>
  <c r="B19" i="14"/>
  <c r="F17" i="11"/>
  <c r="C11" i="14" s="1"/>
  <c r="F24" i="11"/>
  <c r="C18" i="14" s="1"/>
  <c r="F22" i="11"/>
  <c r="C16" i="14" s="1"/>
  <c r="B13" i="14"/>
  <c r="F19" i="11"/>
  <c r="C13" i="14" s="1"/>
  <c r="B21" i="14"/>
  <c r="F27" i="11"/>
  <c r="C21" i="14" s="1"/>
  <c r="F18" i="11"/>
  <c r="C12" i="14" s="1"/>
  <c r="B12" i="14"/>
  <c r="E12" i="11"/>
  <c r="E9" i="11"/>
  <c r="E13" i="11"/>
  <c r="E10" i="11"/>
  <c r="E11" i="11"/>
  <c r="F19" i="7"/>
  <c r="E8" i="8"/>
  <c r="B10" i="11" l="1" a="1"/>
  <c r="B10" i="11" s="1"/>
  <c r="D10" i="11" s="1"/>
  <c r="D14" i="11"/>
  <c r="B8" i="14" s="1"/>
  <c r="B13" i="11" a="1"/>
  <c r="B13" i="11" s="1"/>
  <c r="D13" i="11" s="1"/>
  <c r="B7" i="14" s="1"/>
  <c r="B11" i="11" a="1"/>
  <c r="B11" i="11" s="1"/>
  <c r="D11" i="11" s="1"/>
  <c r="B5" i="14" s="1"/>
  <c r="D15" i="11"/>
  <c r="B9" i="14" s="1"/>
  <c r="B12" i="11" a="1"/>
  <c r="B12" i="11" s="1"/>
  <c r="D12" i="11" s="1"/>
  <c r="B6" i="14" s="1"/>
  <c r="D16" i="11"/>
  <c r="B10" i="14" s="1"/>
  <c r="B9" i="11" a="1"/>
  <c r="B9" i="11" s="1"/>
  <c r="D9" i="11" s="1"/>
  <c r="F9" i="11" s="1"/>
  <c r="G9" i="11" s="1"/>
  <c r="S6" i="6"/>
  <c r="T6" i="6"/>
  <c r="U6" i="6"/>
  <c r="V6" i="6"/>
  <c r="W6" i="6"/>
  <c r="X6" i="6"/>
  <c r="Y6" i="6"/>
  <c r="Z6" i="6"/>
  <c r="AA6" i="6"/>
  <c r="AB6" i="6"/>
  <c r="AC6" i="6"/>
  <c r="AD6" i="6"/>
  <c r="AE6" i="6"/>
  <c r="AF6" i="6"/>
  <c r="AG6" i="6"/>
  <c r="AH6" i="6"/>
  <c r="AI6" i="6"/>
  <c r="AJ6" i="6"/>
  <c r="AK6" i="6"/>
  <c r="AL6" i="6"/>
  <c r="AM6" i="6"/>
  <c r="AN6" i="6"/>
  <c r="AO6" i="6"/>
  <c r="S16" i="6"/>
  <c r="T16" i="6"/>
  <c r="U16" i="6"/>
  <c r="V16" i="6"/>
  <c r="W16" i="6"/>
  <c r="X16" i="6"/>
  <c r="Y16" i="6"/>
  <c r="Z16" i="6"/>
  <c r="AA16" i="6"/>
  <c r="AB16" i="6"/>
  <c r="AC16" i="6"/>
  <c r="AD16" i="6"/>
  <c r="AE16" i="6"/>
  <c r="AF16" i="6"/>
  <c r="AG16" i="6"/>
  <c r="AH16" i="6"/>
  <c r="AI16" i="6"/>
  <c r="AJ16" i="6"/>
  <c r="AK16" i="6"/>
  <c r="AL16" i="6"/>
  <c r="AM16" i="6"/>
  <c r="AN16" i="6"/>
  <c r="AO16" i="6"/>
  <c r="F3" i="6"/>
  <c r="G3" i="6" s="1"/>
  <c r="H3" i="6" s="1"/>
  <c r="I3" i="6" s="1"/>
  <c r="J3" i="6" s="1"/>
  <c r="K3" i="6" s="1"/>
  <c r="L3" i="6" s="1"/>
  <c r="M3" i="6" s="1"/>
  <c r="N3" i="6" s="1"/>
  <c r="O3" i="6" s="1"/>
  <c r="P3" i="6" s="1"/>
  <c r="Q3" i="6" s="1"/>
  <c r="R3" i="6" s="1"/>
  <c r="S3" i="6" s="1"/>
  <c r="T3" i="6" s="1"/>
  <c r="U3" i="6" s="1"/>
  <c r="V3" i="6" s="1"/>
  <c r="W3" i="6" s="1"/>
  <c r="X3" i="6" s="1"/>
  <c r="Y3" i="6" s="1"/>
  <c r="Z3" i="6" s="1"/>
  <c r="AA3" i="6" s="1"/>
  <c r="AB3" i="6" s="1"/>
  <c r="AC3" i="6" s="1"/>
  <c r="AD3" i="6" s="1"/>
  <c r="AE3" i="6" s="1"/>
  <c r="AF3" i="6" s="1"/>
  <c r="AG3" i="6" s="1"/>
  <c r="AH3" i="6" s="1"/>
  <c r="AI3" i="6" s="1"/>
  <c r="AJ3" i="6" s="1"/>
  <c r="AK3" i="6" s="1"/>
  <c r="AL3" i="6" s="1"/>
  <c r="AM3" i="6" s="1"/>
  <c r="AN3" i="6" s="1"/>
  <c r="AO3" i="6" s="1"/>
  <c r="AP3" i="6" s="1"/>
  <c r="AQ3" i="6" s="1"/>
  <c r="AR3" i="6" s="1"/>
  <c r="AS3" i="6" s="1"/>
  <c r="AT3" i="6" s="1"/>
  <c r="AU3" i="6" s="1"/>
  <c r="AV3" i="6" s="1"/>
  <c r="AW3" i="6" s="1"/>
  <c r="AX3" i="6" s="1"/>
  <c r="AY3" i="6" s="1"/>
  <c r="C47" i="4"/>
  <c r="L6" i="6"/>
  <c r="M6" i="6"/>
  <c r="N6" i="6"/>
  <c r="O6" i="6"/>
  <c r="P6" i="6"/>
  <c r="Q6" i="6"/>
  <c r="R6" i="6"/>
  <c r="L16" i="6"/>
  <c r="M16" i="6"/>
  <c r="N16" i="6"/>
  <c r="O16" i="6"/>
  <c r="P16" i="6"/>
  <c r="Q16" i="6"/>
  <c r="R16" i="6"/>
  <c r="C6" i="6"/>
  <c r="D6" i="6"/>
  <c r="E6" i="6"/>
  <c r="F6" i="6"/>
  <c r="G6" i="6"/>
  <c r="H6" i="6"/>
  <c r="I6" i="6"/>
  <c r="J6" i="6"/>
  <c r="K6" i="6"/>
  <c r="C16" i="6"/>
  <c r="D16" i="6"/>
  <c r="E16" i="6"/>
  <c r="F16" i="6"/>
  <c r="G16" i="6"/>
  <c r="H16" i="6"/>
  <c r="I16" i="6"/>
  <c r="J16" i="6"/>
  <c r="K16" i="6"/>
  <c r="B29" i="6"/>
  <c r="B7" i="5"/>
  <c r="F11" i="11" l="1"/>
  <c r="F13" i="11"/>
  <c r="C7" i="14" s="1"/>
  <c r="F12" i="11"/>
  <c r="C6" i="14" s="1"/>
  <c r="F14" i="11"/>
  <c r="C8" i="14" s="1"/>
  <c r="F16" i="11"/>
  <c r="C10" i="14" s="1"/>
  <c r="F15" i="11"/>
  <c r="C9" i="14" s="1"/>
  <c r="F10" i="11"/>
  <c r="D18" i="6"/>
  <c r="E18" i="6" s="1"/>
  <c r="F18" i="6" s="1"/>
  <c r="G18" i="6" s="1"/>
  <c r="H18" i="6" s="1"/>
  <c r="I18" i="6" s="1"/>
  <c r="J18" i="6" s="1"/>
  <c r="K18" i="6" s="1"/>
  <c r="L18" i="6" s="1"/>
  <c r="M18" i="6" s="1"/>
  <c r="N18" i="6" s="1"/>
  <c r="O18" i="6" s="1"/>
  <c r="P18" i="6" s="1"/>
  <c r="Q18" i="6" s="1"/>
  <c r="S18" i="6" s="1"/>
  <c r="T18" i="6" s="1"/>
  <c r="U18" i="6" s="1"/>
  <c r="V18" i="6" s="1"/>
  <c r="W18" i="6" s="1"/>
  <c r="X18" i="6" s="1"/>
  <c r="Y18" i="6" s="1"/>
  <c r="Z18" i="6" s="1"/>
  <c r="AA18" i="6" s="1"/>
  <c r="AB18" i="6" s="1"/>
  <c r="AC18" i="6" s="1"/>
  <c r="AD18" i="6" s="1"/>
  <c r="AE18" i="6" s="1"/>
  <c r="AF18" i="6" s="1"/>
  <c r="AG18" i="6" s="1"/>
  <c r="AH18" i="6" s="1"/>
  <c r="AI18" i="6" s="1"/>
  <c r="AJ18" i="6" s="1"/>
  <c r="AK18" i="6" s="1"/>
  <c r="AL18" i="6" s="1"/>
  <c r="AM18" i="6" s="1"/>
  <c r="AN18" i="6" s="1"/>
  <c r="AO18" i="6" s="1"/>
  <c r="AP18" i="6" s="1"/>
  <c r="AQ18" i="6" s="1"/>
  <c r="AR18" i="6" s="1"/>
  <c r="AS18" i="6" s="1"/>
  <c r="AT18" i="6" s="1"/>
  <c r="AU18" i="6" s="1"/>
  <c r="AV18" i="6" s="1"/>
  <c r="AW18" i="6" s="1"/>
  <c r="AX18" i="6" s="1"/>
  <c r="AY18" i="6" s="1"/>
  <c r="G29" i="4"/>
  <c r="H30" i="4"/>
  <c r="I30" i="4" s="1"/>
  <c r="J30" i="4" s="1"/>
  <c r="K30" i="4" s="1"/>
  <c r="L30" i="4" s="1"/>
  <c r="M30" i="4" s="1"/>
  <c r="N30" i="4" s="1"/>
  <c r="O30" i="4" s="1"/>
  <c r="P30" i="4" s="1"/>
  <c r="Q30" i="4" s="1"/>
  <c r="G17" i="4"/>
  <c r="H34" i="4"/>
  <c r="I34" i="4" s="1"/>
  <c r="J34" i="4" s="1"/>
  <c r="K34" i="4" s="1"/>
  <c r="L34" i="4" s="1"/>
  <c r="M34" i="4" s="1"/>
  <c r="N34" i="4" s="1"/>
  <c r="O34" i="4" s="1"/>
  <c r="P34" i="4" s="1"/>
  <c r="Q34" i="4" s="1"/>
  <c r="H22" i="4"/>
  <c r="I22" i="4" s="1"/>
  <c r="J22" i="4" s="1"/>
  <c r="K22" i="4" s="1"/>
  <c r="L22" i="4" s="1"/>
  <c r="M22" i="4" s="1"/>
  <c r="N22" i="4" s="1"/>
  <c r="O22" i="4" s="1"/>
  <c r="P22" i="4" s="1"/>
  <c r="Q22" i="4" s="1"/>
  <c r="Q4" i="4"/>
  <c r="Q17" i="4" s="1"/>
  <c r="Q20" i="4" s="1"/>
  <c r="Q5" i="4"/>
  <c r="Q29" i="4" s="1"/>
  <c r="Q32" i="4" s="1"/>
  <c r="O4" i="4"/>
  <c r="O17" i="4" s="1"/>
  <c r="O20" i="4" s="1"/>
  <c r="P4" i="4"/>
  <c r="P17" i="4" s="1"/>
  <c r="P20" i="4" s="1"/>
  <c r="O5" i="4"/>
  <c r="O29" i="4" s="1"/>
  <c r="O32" i="4" s="1"/>
  <c r="P5" i="4"/>
  <c r="P29" i="4" s="1"/>
  <c r="P32" i="4" s="1"/>
  <c r="N4" i="4"/>
  <c r="N17" i="4" s="1"/>
  <c r="N20" i="4" s="1"/>
  <c r="N5" i="4"/>
  <c r="N29" i="4" s="1"/>
  <c r="N32" i="4" s="1"/>
  <c r="M4" i="4"/>
  <c r="M17" i="4" s="1"/>
  <c r="M20" i="4" s="1"/>
  <c r="M5" i="4"/>
  <c r="M29" i="4" s="1"/>
  <c r="M32" i="4" s="1"/>
  <c r="C10" i="4"/>
  <c r="G18" i="4" s="1"/>
  <c r="H18" i="4" s="1"/>
  <c r="H5" i="4"/>
  <c r="H29" i="4" s="1"/>
  <c r="H32" i="4" s="1"/>
  <c r="H33" i="4" s="1"/>
  <c r="I33" i="4" s="1"/>
  <c r="J33" i="4" s="1"/>
  <c r="K33" i="4" s="1"/>
  <c r="L33" i="4" s="1"/>
  <c r="M33" i="4" s="1"/>
  <c r="N33" i="4" s="1"/>
  <c r="O33" i="4" s="1"/>
  <c r="P33" i="4" s="1"/>
  <c r="Q33" i="4" s="1"/>
  <c r="I5" i="4"/>
  <c r="I29" i="4" s="1"/>
  <c r="I32" i="4" s="1"/>
  <c r="J5" i="4"/>
  <c r="J29" i="4" s="1"/>
  <c r="J32" i="4" s="1"/>
  <c r="K5" i="4"/>
  <c r="K29" i="4" s="1"/>
  <c r="K32" i="4" s="1"/>
  <c r="L5" i="4"/>
  <c r="L29" i="4" s="1"/>
  <c r="L32" i="4" s="1"/>
  <c r="B5" i="4"/>
  <c r="B29" i="4" s="1"/>
  <c r="C5" i="4"/>
  <c r="C29" i="4" s="1"/>
  <c r="D5" i="4"/>
  <c r="D29" i="4" s="1"/>
  <c r="E5" i="4"/>
  <c r="E29" i="4" s="1"/>
  <c r="F5" i="4"/>
  <c r="F29" i="4" s="1"/>
  <c r="B4" i="4"/>
  <c r="B17" i="4" s="1"/>
  <c r="C4" i="4"/>
  <c r="C17" i="4" s="1"/>
  <c r="D4" i="4"/>
  <c r="D17" i="4" s="1"/>
  <c r="E4" i="4"/>
  <c r="E17" i="4" s="1"/>
  <c r="F4" i="4"/>
  <c r="F17" i="4" s="1"/>
  <c r="I4" i="4"/>
  <c r="I17" i="4" s="1"/>
  <c r="I20" i="4" s="1"/>
  <c r="J4" i="4"/>
  <c r="J17" i="4" s="1"/>
  <c r="J20" i="4" s="1"/>
  <c r="K4" i="4"/>
  <c r="K17" i="4" s="1"/>
  <c r="K20" i="4" s="1"/>
  <c r="L4" i="4"/>
  <c r="L17" i="4" s="1"/>
  <c r="L20" i="4" s="1"/>
  <c r="H4" i="4"/>
  <c r="H17" i="4" s="1"/>
  <c r="H20" i="4" s="1"/>
  <c r="H21" i="4" s="1"/>
  <c r="I21" i="4" s="1"/>
  <c r="D6" i="14" l="1"/>
  <c r="D7" i="14" s="1"/>
  <c r="C5" i="14"/>
  <c r="G10" i="11"/>
  <c r="G11" i="11" s="1"/>
  <c r="G12" i="11" s="1"/>
  <c r="G13" i="11" s="1"/>
  <c r="G14" i="11" s="1"/>
  <c r="G15" i="11" s="1"/>
  <c r="G16" i="11" s="1"/>
  <c r="G17" i="11" s="1"/>
  <c r="G18" i="11" s="1"/>
  <c r="G19" i="11" s="1"/>
  <c r="G20" i="11" s="1"/>
  <c r="G21" i="11" s="1"/>
  <c r="G22" i="11" s="1"/>
  <c r="G23" i="11" s="1"/>
  <c r="G24" i="11" s="1"/>
  <c r="G25" i="11" s="1"/>
  <c r="G26" i="11" s="1"/>
  <c r="G27" i="11" s="1"/>
  <c r="G28" i="11" s="1"/>
  <c r="G29" i="11" s="1"/>
  <c r="J21" i="4"/>
  <c r="K21" i="4" s="1"/>
  <c r="L21" i="4" s="1"/>
  <c r="M21" i="4" s="1"/>
  <c r="N21" i="4" s="1"/>
  <c r="O21" i="4" s="1"/>
  <c r="P21" i="4" s="1"/>
  <c r="Q21" i="4" s="1"/>
  <c r="I18" i="4"/>
  <c r="J18" i="4" s="1"/>
  <c r="K18" i="4" s="1"/>
  <c r="L18" i="4" s="1"/>
  <c r="M18" i="4" s="1"/>
  <c r="N18" i="4" s="1"/>
  <c r="O18" i="4" s="1"/>
  <c r="P18" i="4" s="1"/>
  <c r="Q18" i="4" s="1"/>
  <c r="D8" i="14" l="1"/>
  <c r="D9" i="14" s="1"/>
  <c r="D10" i="14" s="1"/>
  <c r="D11" i="14" s="1"/>
  <c r="D12" i="14" s="1"/>
  <c r="D13" i="14" s="1"/>
  <c r="D14" i="14" s="1"/>
  <c r="D15" i="14" s="1"/>
  <c r="D16" i="14" s="1"/>
  <c r="D17" i="14" s="1"/>
  <c r="D18" i="14" s="1"/>
  <c r="D19" i="14" s="1"/>
  <c r="D20" i="14" s="1"/>
  <c r="D21" i="14" s="1"/>
  <c r="D22" i="14" s="1"/>
  <c r="D23" i="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Jack Bahou</author>
  </authors>
  <commentList>
    <comment ref="D25" authorId="0" shapeId="0" xr:uid="{4359ECEF-BDBF-1A4B-A9C3-331A133668B3}">
      <text>
        <r>
          <rPr>
            <b/>
            <sz val="10"/>
            <color rgb="FF000000"/>
            <rFont val="Tahoma"/>
            <family val="2"/>
          </rPr>
          <t>Jack Bahou:</t>
        </r>
        <r>
          <rPr>
            <sz val="10"/>
            <color rgb="FF000000"/>
            <rFont val="Tahoma"/>
            <family val="2"/>
          </rPr>
          <t xml:space="preserve">
</t>
        </r>
        <r>
          <rPr>
            <sz val="10"/>
            <color rgb="FF000000"/>
            <rFont val="Tahoma"/>
            <family val="2"/>
          </rPr>
          <t xml:space="preserve">Wifi - £15/month
</t>
        </r>
        <r>
          <rPr>
            <sz val="10"/>
            <color rgb="FF000000"/>
            <rFont val="Tahoma"/>
            <family val="2"/>
          </rPr>
          <t xml:space="preserve">Water - £50/month
</t>
        </r>
        <r>
          <rPr>
            <sz val="10"/>
            <color rgb="FF000000"/>
            <rFont val="Tahoma"/>
            <family val="2"/>
          </rPr>
          <t xml:space="preserve">Elec - £80/month
</t>
        </r>
        <r>
          <rPr>
            <sz val="10"/>
            <color rgb="FF000000"/>
            <rFont val="Tahoma"/>
            <family val="2"/>
          </rPr>
          <t>Council tax - £189/month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Jack Bahou</author>
  </authors>
  <commentList>
    <comment ref="D13" authorId="0" shapeId="0" xr:uid="{24A47228-186E-9747-9BE0-D9321C790D34}">
      <text>
        <r>
          <rPr>
            <b/>
            <sz val="10"/>
            <color rgb="FF000000"/>
            <rFont val="Tahoma"/>
            <family val="2"/>
          </rPr>
          <t>Jack Bahou:</t>
        </r>
        <r>
          <rPr>
            <sz val="10"/>
            <color rgb="FF000000"/>
            <rFont val="Tahoma"/>
            <family val="2"/>
          </rPr>
          <t xml:space="preserve">
</t>
        </r>
        <r>
          <rPr>
            <sz val="10"/>
            <color rgb="FF000000"/>
            <rFont val="Tahoma"/>
            <family val="2"/>
          </rPr>
          <t>Car?</t>
        </r>
      </text>
    </comment>
    <comment ref="F13" authorId="0" shapeId="0" xr:uid="{81E46E60-0B97-B74E-893C-E7676B1C929A}">
      <text>
        <r>
          <rPr>
            <b/>
            <sz val="10"/>
            <color rgb="FF000000"/>
            <rFont val="Tahoma"/>
            <family val="2"/>
          </rPr>
          <t>Jack Bahou:</t>
        </r>
        <r>
          <rPr>
            <sz val="10"/>
            <color rgb="FF000000"/>
            <rFont val="Tahoma"/>
            <family val="2"/>
          </rPr>
          <t xml:space="preserve">
</t>
        </r>
        <r>
          <rPr>
            <sz val="10"/>
            <color rgb="FF000000"/>
            <rFont val="Tahoma"/>
            <family val="2"/>
          </rPr>
          <t>Calise Wedding</t>
        </r>
      </text>
    </comment>
    <comment ref="S13" authorId="0" shapeId="0" xr:uid="{76EBEFAD-9484-5B4B-B40C-4C6E3D23D35C}">
      <text>
        <r>
          <rPr>
            <b/>
            <sz val="10"/>
            <color rgb="FF000000"/>
            <rFont val="Tahoma"/>
            <family val="2"/>
          </rPr>
          <t>Jack Bahou:</t>
        </r>
        <r>
          <rPr>
            <sz val="10"/>
            <color rgb="FF000000"/>
            <rFont val="Tahoma"/>
            <family val="2"/>
          </rPr>
          <t xml:space="preserve">
</t>
        </r>
        <r>
          <rPr>
            <sz val="10"/>
            <color rgb="FF000000"/>
            <rFont val="Tahoma"/>
            <family val="2"/>
          </rPr>
          <t>NYE</t>
        </r>
      </text>
    </comment>
    <comment ref="V13" authorId="0" shapeId="0" xr:uid="{65FC88B5-8D8B-5743-B249-33D70166F1F2}">
      <text>
        <r>
          <rPr>
            <b/>
            <sz val="10"/>
            <color rgb="FF000000"/>
            <rFont val="Tahoma"/>
            <family val="2"/>
          </rPr>
          <t>Jack Bahou:</t>
        </r>
        <r>
          <rPr>
            <sz val="10"/>
            <color rgb="FF000000"/>
            <rFont val="Tahoma"/>
            <family val="2"/>
          </rPr>
          <t xml:space="preserve">
</t>
        </r>
        <r>
          <rPr>
            <sz val="10"/>
            <color rgb="FF000000"/>
            <rFont val="Tahoma"/>
            <family val="2"/>
          </rPr>
          <t>Rari weekend</t>
        </r>
      </text>
    </comment>
    <comment ref="W13" authorId="0" shapeId="0" xr:uid="{D7EEA160-B1EC-4C42-9D34-C3553452C5ED}">
      <text>
        <r>
          <rPr>
            <b/>
            <sz val="10"/>
            <color rgb="FF000000"/>
            <rFont val="Tahoma"/>
            <family val="2"/>
          </rPr>
          <t>Jack Bahou:</t>
        </r>
        <r>
          <rPr>
            <sz val="10"/>
            <color rgb="FF000000"/>
            <rFont val="Tahoma"/>
            <family val="2"/>
          </rPr>
          <t xml:space="preserve">
</t>
        </r>
        <r>
          <rPr>
            <sz val="10"/>
            <color rgb="FF000000"/>
            <rFont val="Tahoma"/>
            <family val="2"/>
          </rPr>
          <t xml:space="preserve">Poland + K `bday
</t>
        </r>
      </text>
    </comment>
    <comment ref="AC13" authorId="0" shapeId="0" xr:uid="{BDA4E411-D25F-7D41-93FB-C3F831A90E4C}">
      <text>
        <r>
          <rPr>
            <b/>
            <sz val="10"/>
            <color rgb="FF000000"/>
            <rFont val="Tahoma"/>
            <family val="2"/>
          </rPr>
          <t>Jack Bahou:</t>
        </r>
        <r>
          <rPr>
            <sz val="10"/>
            <color rgb="FF000000"/>
            <rFont val="Tahoma"/>
            <family val="2"/>
          </rPr>
          <t xml:space="preserve">
</t>
        </r>
        <r>
          <rPr>
            <sz val="10"/>
            <color rgb="FF000000"/>
            <rFont val="Tahoma"/>
            <family val="2"/>
          </rPr>
          <t xml:space="preserve">Cheltenham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Jack Bahou</author>
  </authors>
  <commentList>
    <comment ref="H19" authorId="0" shapeId="0" xr:uid="{B4BF7859-5F73-E240-B4D5-0E70EECD7CB0}">
      <text>
        <r>
          <rPr>
            <b/>
            <sz val="10"/>
            <color rgb="FF000000"/>
            <rFont val="Tahoma"/>
            <family val="2"/>
          </rPr>
          <t>Jack Bahou:</t>
        </r>
        <r>
          <rPr>
            <sz val="10"/>
            <color rgb="FF000000"/>
            <rFont val="Tahoma"/>
            <family val="2"/>
          </rPr>
          <t xml:space="preserve">
</t>
        </r>
        <r>
          <rPr>
            <sz val="10"/>
            <color rgb="FF000000"/>
            <rFont val="Tahoma"/>
            <family val="2"/>
          </rPr>
          <t xml:space="preserve">BTC sold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<sst xmlns="http://schemas.openxmlformats.org/spreadsheetml/2006/main" count="442" uniqueCount="197">
  <si>
    <t>WC</t>
  </si>
  <si>
    <t>Income:</t>
  </si>
  <si>
    <t>Expenditure:</t>
  </si>
  <si>
    <t>Food</t>
  </si>
  <si>
    <t>Other</t>
  </si>
  <si>
    <t>Total income</t>
  </si>
  <si>
    <t>Total outgoing</t>
  </si>
  <si>
    <t>Total</t>
  </si>
  <si>
    <t>Weekly spend</t>
  </si>
  <si>
    <t>OWED</t>
  </si>
  <si>
    <t>Amount</t>
  </si>
  <si>
    <t>P/L</t>
  </si>
  <si>
    <t>End of Week Total</t>
  </si>
  <si>
    <t>Investment</t>
  </si>
  <si>
    <t>Crypto</t>
  </si>
  <si>
    <t>Credit</t>
  </si>
  <si>
    <t>Aether</t>
  </si>
  <si>
    <t>BTC</t>
  </si>
  <si>
    <t>20%</t>
  </si>
  <si>
    <t>30%</t>
  </si>
  <si>
    <t>ETH</t>
  </si>
  <si>
    <t>Current Price</t>
  </si>
  <si>
    <t>Price</t>
  </si>
  <si>
    <t>Holdings</t>
  </si>
  <si>
    <t>Amount, C</t>
  </si>
  <si>
    <t>Amount, F</t>
  </si>
  <si>
    <t>Avrg Buy</t>
  </si>
  <si>
    <t>Strat</t>
  </si>
  <si>
    <t>Price Points</t>
  </si>
  <si>
    <t>Current</t>
  </si>
  <si>
    <t>HODL</t>
  </si>
  <si>
    <t>Sell ($)</t>
  </si>
  <si>
    <t>Sell (BTC)</t>
  </si>
  <si>
    <t>Sell (ETH)</t>
  </si>
  <si>
    <t>In Bank ($)</t>
  </si>
  <si>
    <t>Binance Wallet (BTC)</t>
  </si>
  <si>
    <t>Binance Wallet (ETH)</t>
  </si>
  <si>
    <t>Legal &amp; General</t>
  </si>
  <si>
    <t xml:space="preserve">Account number </t>
  </si>
  <si>
    <t>THE ABBOTT RETIREMENT SAVER (2015)</t>
  </si>
  <si>
    <t>Date</t>
  </si>
  <si>
    <t>Balance</t>
  </si>
  <si>
    <t>Invested</t>
  </si>
  <si>
    <t>%G/L</t>
  </si>
  <si>
    <t>Cushon</t>
  </si>
  <si>
    <t>Aether Pension Pot</t>
  </si>
  <si>
    <t>Adam</t>
  </si>
  <si>
    <t>Gym + Active</t>
  </si>
  <si>
    <t>Misc spend</t>
  </si>
  <si>
    <t>Rent</t>
  </si>
  <si>
    <t>Alts:</t>
  </si>
  <si>
    <t>ADA</t>
  </si>
  <si>
    <t>CKB</t>
  </si>
  <si>
    <t>ROSE</t>
  </si>
  <si>
    <t>ALGO</t>
  </si>
  <si>
    <t>ERG</t>
  </si>
  <si>
    <t>CRO</t>
  </si>
  <si>
    <t>Value (13/03/24)</t>
  </si>
  <si>
    <t>Sell 75% at BTC market dom of 40% or:</t>
  </si>
  <si>
    <t>Spotify</t>
  </si>
  <si>
    <t>Week</t>
  </si>
  <si>
    <t>Month</t>
  </si>
  <si>
    <t>Year</t>
  </si>
  <si>
    <t>As Monthly</t>
  </si>
  <si>
    <t>Gym</t>
  </si>
  <si>
    <t>Climbing</t>
  </si>
  <si>
    <t>Me</t>
  </si>
  <si>
    <t>Investment/Monthly</t>
  </si>
  <si>
    <t>House</t>
  </si>
  <si>
    <t>Car</t>
  </si>
  <si>
    <t>Goal</t>
  </si>
  <si>
    <t>Cost</t>
  </si>
  <si>
    <t>Monthly Saving</t>
  </si>
  <si>
    <t>Comment</t>
  </si>
  <si>
    <t>Timeframe (months)</t>
  </si>
  <si>
    <t>Assuming 200k house @ 15% deposit</t>
  </si>
  <si>
    <t>Backpacking Trip</t>
  </si>
  <si>
    <t>3 month trip to South America</t>
  </si>
  <si>
    <t>Van</t>
  </si>
  <si>
    <t>Fuel</t>
  </si>
  <si>
    <t>Withdrawn</t>
  </si>
  <si>
    <t>Holidays</t>
  </si>
  <si>
    <t>Savings</t>
  </si>
  <si>
    <t>Account</t>
  </si>
  <si>
    <t>Notes</t>
  </si>
  <si>
    <t>Nutmeg (LISA)</t>
  </si>
  <si>
    <t>Debit (Revolut)</t>
  </si>
  <si>
    <t>Monzo (Spend)</t>
  </si>
  <si>
    <t>Monzo (Savings)</t>
  </si>
  <si>
    <t>Accounts</t>
  </si>
  <si>
    <t>Row Labels</t>
  </si>
  <si>
    <t>Grand Total</t>
  </si>
  <si>
    <t>Sum of Amount</t>
  </si>
  <si>
    <t>Column Labels</t>
  </si>
  <si>
    <t>Groceries</t>
  </si>
  <si>
    <t>Eating out</t>
  </si>
  <si>
    <t>Personal care</t>
  </si>
  <si>
    <t>Entertainment</t>
  </si>
  <si>
    <t>Monthly Expenditure:</t>
  </si>
  <si>
    <t>Gifts</t>
  </si>
  <si>
    <t>Calculations</t>
  </si>
  <si>
    <t>Income</t>
  </si>
  <si>
    <t>Source</t>
  </si>
  <si>
    <t>Other Expenditure (Monthly):</t>
  </si>
  <si>
    <t>Reason</t>
  </si>
  <si>
    <t>Category</t>
  </si>
  <si>
    <t>OtherExpenditure</t>
  </si>
  <si>
    <t>Holiday/Fun</t>
  </si>
  <si>
    <t>Note</t>
  </si>
  <si>
    <t>Korn Bday</t>
  </si>
  <si>
    <t>Weekly Spend</t>
  </si>
  <si>
    <t>Monthly Spend</t>
  </si>
  <si>
    <t>Yearly Spend</t>
  </si>
  <si>
    <t>NYE</t>
  </si>
  <si>
    <t>Poland</t>
  </si>
  <si>
    <t>JB Bday</t>
  </si>
  <si>
    <t>Kim &amp; Ce Wedding</t>
  </si>
  <si>
    <t>Total (monthly)</t>
  </si>
  <si>
    <t>Monthly spend</t>
  </si>
  <si>
    <t>Monthly Expenditure</t>
  </si>
  <si>
    <t>Other Expenditure</t>
  </si>
  <si>
    <t>Total Expenditure</t>
  </si>
  <si>
    <t>Remaining Cash</t>
  </si>
  <si>
    <t>PL (%)</t>
  </si>
  <si>
    <t>Reports - Breakdown</t>
  </si>
  <si>
    <t>Reports - Total</t>
  </si>
  <si>
    <t>Tables</t>
  </si>
  <si>
    <t>Cumulative Cash</t>
  </si>
  <si>
    <t>ExpenditureCat</t>
  </si>
  <si>
    <t>My Bday</t>
  </si>
  <si>
    <t>Kimmy Stag do</t>
  </si>
  <si>
    <t>Car Tax</t>
  </si>
  <si>
    <t>Moneybox (LISA)</t>
  </si>
  <si>
    <t>LISA Switched to Moneybox</t>
  </si>
  <si>
    <t>Value</t>
  </si>
  <si>
    <t>Ticket paid</t>
  </si>
  <si>
    <t>Easter Minehead</t>
  </si>
  <si>
    <t>Garmin Watch</t>
  </si>
  <si>
    <t>Big Weekend</t>
  </si>
  <si>
    <t>Lido Fest</t>
  </si>
  <si>
    <t>Tay wedding</t>
  </si>
  <si>
    <t>Flights paid - accom calise/kim (not paid)</t>
  </si>
  <si>
    <t>S&amp;S ISA</t>
  </si>
  <si>
    <t>S&amp;S ISA switched to T212</t>
  </si>
  <si>
    <t>Three peaks</t>
  </si>
  <si>
    <t>Copenhagen</t>
  </si>
  <si>
    <t>Athens Marathon &amp; Cyprus</t>
  </si>
  <si>
    <t>Watch</t>
  </si>
  <si>
    <t>100 paid for by mun n da</t>
  </si>
  <si>
    <t>Prague</t>
  </si>
  <si>
    <t>Projections</t>
  </si>
  <si>
    <t>Remaining cash</t>
  </si>
  <si>
    <t>Bongos</t>
  </si>
  <si>
    <t>300 flights (done) 300 spend</t>
  </si>
  <si>
    <t>Harv in pool</t>
  </si>
  <si>
    <t>Oasis</t>
  </si>
  <si>
    <t>150 ticket, 100 spend inc. train</t>
  </si>
  <si>
    <t>Barry can't swim</t>
  </si>
  <si>
    <t>accom booked</t>
  </si>
  <si>
    <t>Monthly Expenditure (new):</t>
  </si>
  <si>
    <t>Bills</t>
  </si>
  <si>
    <t>Date of Projection: 01/07/25</t>
  </si>
  <si>
    <t>LJ Stag 1</t>
  </si>
  <si>
    <t>Weddings</t>
  </si>
  <si>
    <t>LJ Stag 2</t>
  </si>
  <si>
    <t>LJ Stag - painballing and Oxford</t>
  </si>
  <si>
    <t>LJ Stag the big one</t>
  </si>
  <si>
    <t>George &amp; Sian - Cyprus</t>
  </si>
  <si>
    <t>100 flight, 200 Spend, 50 gift</t>
  </si>
  <si>
    <t>Korn's b day bash Poland</t>
  </si>
  <si>
    <t>Korns bday present</t>
  </si>
  <si>
    <t>Poland wedding</t>
  </si>
  <si>
    <t>As Yearly</t>
  </si>
  <si>
    <t>Christmas</t>
  </si>
  <si>
    <t>50 K, 100 Fam</t>
  </si>
  <si>
    <t>Projected Worth</t>
  </si>
  <si>
    <t>Actual Worth</t>
  </si>
  <si>
    <t>70 flight, 180 spend</t>
  </si>
  <si>
    <t>Car insurance</t>
  </si>
  <si>
    <t>Unsure on the deets of this - insured through dad</t>
  </si>
  <si>
    <t>Ski hol</t>
  </si>
  <si>
    <t>Flights and accom paid</t>
  </si>
  <si>
    <t>LJ Wedding</t>
  </si>
  <si>
    <t>Taxis/Booze</t>
  </si>
  <si>
    <t>Suit</t>
  </si>
  <si>
    <t xml:space="preserve">Flights and accom </t>
  </si>
  <si>
    <t>Paris 2026</t>
  </si>
  <si>
    <t>Spend in paris for 1 weekend</t>
  </si>
  <si>
    <t>Chase</t>
  </si>
  <si>
    <t>Beth &amp; Mitch Wedding</t>
  </si>
  <si>
    <t>Fuel, Hotel, Drinks</t>
  </si>
  <si>
    <t>Mortgage Broker</t>
  </si>
  <si>
    <t>Solicitor - First payment</t>
  </si>
  <si>
    <t>For searches</t>
  </si>
  <si>
    <t>Solicitor - other payments</t>
  </si>
  <si>
    <t>Rest of the bill</t>
  </si>
  <si>
    <t>Survey for house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</si>
</sst>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8" formatCode="&quot;£&quot;#,##0.00_);[Red]\(&quot;£&quot;#,##0.00\)"/>
    <numFmt numFmtId="164" formatCode="dd/mm/yy;@"/>
    <numFmt numFmtId="165" formatCode="&quot;£&quot;#,##0.00"/>
    <numFmt numFmtId="166" formatCode="0.0000"/>
    <numFmt numFmtId="167" formatCode="#,##0.000000"/>
    <numFmt numFmtId="168" formatCode="mmm\ yy"/>
    <numFmt numFmtId="169" formatCode="_-[$£-809]* #,##0.00_-;\-[$£-809]* #,##0.00_-;_-[$£-809]* &quot;-&quot;??_-;_-@_-"/>
  </numFmts>
  <fonts count="15" x14ac:knownFonts="1">
    <font>
      <sz val="11"/>
      <color theme="1"/>
      <name val="Calibri"/>
      <family val="2"/>
      <scheme val="minor"/>
    </font>
    <font>
      <b/>
      <sz val="11"/>
      <color theme="1"/>
      <name val="Calibri"/>
      <family val="2"/>
      <scheme val="minor"/>
    </font>
    <font>
      <b/>
      <sz val="11"/>
      <color rgb="FFFF0000"/>
      <name val="Calibri"/>
      <family val="2"/>
      <scheme val="minor"/>
    </font>
    <font>
      <sz val="11"/>
      <color theme="1"/>
      <name val="Calibri"/>
      <family val="2"/>
      <scheme val="minor"/>
    </font>
    <font>
      <sz val="13"/>
      <color theme="1"/>
      <name val="Arial"/>
      <family val="2"/>
    </font>
    <font>
      <sz val="13"/>
      <color rgb="FFFF0000"/>
      <name val="Arial"/>
      <family val="2"/>
    </font>
    <font>
      <sz val="13"/>
      <color theme="9"/>
      <name val="Arial"/>
      <family val="2"/>
    </font>
    <font>
      <b/>
      <sz val="13"/>
      <color theme="1"/>
      <name val="Arial"/>
      <family val="2"/>
    </font>
    <font>
      <sz val="13"/>
      <name val="Arial"/>
      <family val="2"/>
    </font>
    <font>
      <b/>
      <sz val="14"/>
      <color theme="1"/>
      <name val="Calibri"/>
      <family val="2"/>
      <scheme val="minor"/>
    </font>
    <font>
      <sz val="10"/>
      <color rgb="FF000000"/>
      <name val="Tahoma"/>
      <family val="2"/>
    </font>
    <font>
      <b/>
      <sz val="10"/>
      <color rgb="FF000000"/>
      <name val="Tahoma"/>
      <family val="2"/>
    </font>
    <font>
      <b/>
      <i/>
      <sz val="11"/>
      <color theme="1"/>
      <name val="Calibri"/>
      <family val="2"/>
      <scheme val="minor"/>
    </font>
    <font>
      <b/>
      <sz val="15"/>
      <color theme="3"/>
      <name val="Calibri"/>
      <family val="2"/>
      <scheme val="minor"/>
    </font>
    <font>
      <sz val="11"/>
      <color rgb="FF000000"/>
      <name val="Calibri"/>
      <family val="2"/>
      <scheme val="minor"/>
    </font>
  </fonts>
  <fills count="11">
    <fill>
      <patternFill patternType="none"/>
    </fill>
    <fill>
      <patternFill patternType="gray125"/>
    </fill>
    <fill>
      <patternFill patternType="solid">
        <fgColor theme="9" tint="0.59999389629810485"/>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6" tint="0.39997558519241921"/>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rgb="FFFFFF00"/>
        <bgColor indexed="64"/>
      </patternFill>
    </fill>
    <fill>
      <patternFill patternType="solid">
        <fgColor theme="8" tint="0.39997558519241921"/>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medium">
        <color indexed="64"/>
      </top>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style="thin">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medium">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style="medium">
        <color indexed="64"/>
      </top>
      <bottom/>
      <diagonal/>
    </border>
    <border>
      <left/>
      <right/>
      <top/>
      <bottom style="thick">
        <color theme="4"/>
      </bottom>
      <diagonal/>
    </border>
  </borders>
  <cellStyleXfs count="3">
    <xf numFmtId="0" fontId="0" fillId="0" borderId="0"/>
    <xf numFmtId="9" fontId="3" fillId="0" borderId="0" applyFont="0" applyFill="0" applyBorder="0" applyAlignment="0" applyProtection="0"/>
    <xf numFmtId="0" fontId="13" fillId="0" borderId="41" applyNumberFormat="0" applyFill="0" applyAlignment="0" applyProtection="0"/>
  </cellStyleXfs>
  <cellXfs count="146">
    <xf numFmtId="0" fontId="0" fillId="0" borderId="0" xfId="0"/>
    <xf numFmtId="0" fontId="1" fillId="0" borderId="0" xfId="0" applyFont="1"/>
    <xf numFmtId="0" fontId="0" fillId="2" borderId="1" xfId="0" applyFill="1" applyBorder="1"/>
    <xf numFmtId="0" fontId="0" fillId="3" borderId="1" xfId="0" applyFill="1" applyBorder="1"/>
    <xf numFmtId="164" fontId="0" fillId="4" borderId="1" xfId="0" applyNumberFormat="1" applyFill="1" applyBorder="1"/>
    <xf numFmtId="0" fontId="0" fillId="4" borderId="1" xfId="0" applyFill="1" applyBorder="1"/>
    <xf numFmtId="0" fontId="1" fillId="4" borderId="1" xfId="0" applyFont="1" applyFill="1" applyBorder="1"/>
    <xf numFmtId="0" fontId="1" fillId="5" borderId="1" xfId="0" applyFont="1" applyFill="1" applyBorder="1"/>
    <xf numFmtId="0" fontId="0" fillId="5" borderId="1" xfId="0" applyFill="1" applyBorder="1"/>
    <xf numFmtId="0" fontId="1" fillId="5" borderId="1" xfId="0" applyFont="1" applyFill="1" applyBorder="1" applyAlignment="1">
      <alignment horizontal="right"/>
    </xf>
    <xf numFmtId="164" fontId="1" fillId="4" borderId="1" xfId="0" applyNumberFormat="1" applyFont="1" applyFill="1" applyBorder="1"/>
    <xf numFmtId="0" fontId="1" fillId="4" borderId="3" xfId="0" applyFont="1" applyFill="1" applyBorder="1"/>
    <xf numFmtId="0" fontId="1" fillId="4" borderId="3" xfId="0" applyFont="1" applyFill="1" applyBorder="1" applyAlignment="1">
      <alignment horizontal="right"/>
    </xf>
    <xf numFmtId="0" fontId="0" fillId="4" borderId="2" xfId="0" applyFill="1" applyBorder="1"/>
    <xf numFmtId="0" fontId="1" fillId="4" borderId="2" xfId="0" applyFont="1" applyFill="1" applyBorder="1"/>
    <xf numFmtId="0" fontId="0" fillId="4" borderId="3" xfId="0" applyFill="1" applyBorder="1"/>
    <xf numFmtId="2" fontId="2" fillId="4" borderId="3" xfId="0" applyNumberFormat="1" applyFont="1" applyFill="1" applyBorder="1"/>
    <xf numFmtId="2" fontId="1" fillId="4" borderId="3" xfId="0" applyNumberFormat="1" applyFont="1" applyFill="1" applyBorder="1"/>
    <xf numFmtId="164" fontId="0" fillId="0" borderId="0" xfId="0" applyNumberFormat="1"/>
    <xf numFmtId="165" fontId="0" fillId="0" borderId="0" xfId="0" applyNumberFormat="1"/>
    <xf numFmtId="2" fontId="0" fillId="4" borderId="1" xfId="0" applyNumberFormat="1" applyFill="1" applyBorder="1"/>
    <xf numFmtId="0" fontId="4" fillId="0" borderId="0" xfId="0" applyFont="1"/>
    <xf numFmtId="0" fontId="4" fillId="0" borderId="1" xfId="0" applyFont="1" applyBorder="1"/>
    <xf numFmtId="9" fontId="4" fillId="7" borderId="1" xfId="0" applyNumberFormat="1" applyFont="1" applyFill="1" applyBorder="1"/>
    <xf numFmtId="0" fontId="4" fillId="6" borderId="1" xfId="0" applyFont="1" applyFill="1" applyBorder="1"/>
    <xf numFmtId="9" fontId="4" fillId="2" borderId="1" xfId="0" quotePrefix="1" applyNumberFormat="1" applyFont="1" applyFill="1" applyBorder="1" applyAlignment="1">
      <alignment horizontal="right"/>
    </xf>
    <xf numFmtId="1" fontId="4" fillId="6" borderId="1" xfId="0" applyNumberFormat="1" applyFont="1" applyFill="1" applyBorder="1"/>
    <xf numFmtId="1" fontId="4" fillId="2" borderId="1" xfId="0" applyNumberFormat="1" applyFont="1" applyFill="1" applyBorder="1"/>
    <xf numFmtId="3" fontId="5" fillId="6" borderId="1" xfId="0" applyNumberFormat="1" applyFont="1" applyFill="1" applyBorder="1"/>
    <xf numFmtId="0" fontId="5" fillId="2" borderId="1" xfId="0" applyFont="1" applyFill="1" applyBorder="1"/>
    <xf numFmtId="0" fontId="6" fillId="0" borderId="1" xfId="0" applyFont="1" applyBorder="1"/>
    <xf numFmtId="0" fontId="4" fillId="0" borderId="3" xfId="0" applyFont="1" applyBorder="1"/>
    <xf numFmtId="1" fontId="4" fillId="7" borderId="3" xfId="0" applyNumberFormat="1" applyFont="1" applyFill="1" applyBorder="1"/>
    <xf numFmtId="0" fontId="4" fillId="0" borderId="2" xfId="0" applyFont="1" applyBorder="1"/>
    <xf numFmtId="9" fontId="4" fillId="7" borderId="2" xfId="0" applyNumberFormat="1" applyFont="1" applyFill="1" applyBorder="1"/>
    <xf numFmtId="0" fontId="4" fillId="6" borderId="2" xfId="0" applyFont="1" applyFill="1" applyBorder="1"/>
    <xf numFmtId="9" fontId="4" fillId="2" borderId="2" xfId="0" quotePrefix="1" applyNumberFormat="1" applyFont="1" applyFill="1" applyBorder="1" applyAlignment="1">
      <alignment horizontal="right"/>
    </xf>
    <xf numFmtId="0" fontId="4" fillId="7" borderId="1" xfId="0" applyFont="1" applyFill="1" applyBorder="1"/>
    <xf numFmtId="3" fontId="4" fillId="6" borderId="1" xfId="0" applyNumberFormat="1" applyFont="1" applyFill="1" applyBorder="1"/>
    <xf numFmtId="0" fontId="4" fillId="2" borderId="1" xfId="0" applyFont="1" applyFill="1" applyBorder="1"/>
    <xf numFmtId="0" fontId="5" fillId="0" borderId="1" xfId="0" applyFont="1" applyBorder="1"/>
    <xf numFmtId="0" fontId="7" fillId="0" borderId="0" xfId="0" applyFont="1"/>
    <xf numFmtId="0" fontId="4" fillId="8" borderId="1" xfId="0" applyFont="1" applyFill="1" applyBorder="1"/>
    <xf numFmtId="1" fontId="4" fillId="8" borderId="1" xfId="0" applyNumberFormat="1" applyFont="1" applyFill="1" applyBorder="1"/>
    <xf numFmtId="0" fontId="8" fillId="0" borderId="1" xfId="0" applyFont="1" applyBorder="1"/>
    <xf numFmtId="167" fontId="5" fillId="6" borderId="1" xfId="0" applyNumberFormat="1" applyFont="1" applyFill="1" applyBorder="1"/>
    <xf numFmtId="167" fontId="8" fillId="0" borderId="1" xfId="0" applyNumberFormat="1" applyFont="1" applyBorder="1"/>
    <xf numFmtId="166" fontId="4" fillId="0" borderId="1" xfId="0" applyNumberFormat="1" applyFont="1" applyBorder="1"/>
    <xf numFmtId="0" fontId="0" fillId="0" borderId="0" xfId="0" applyAlignment="1">
      <alignment wrapText="1"/>
    </xf>
    <xf numFmtId="0" fontId="9" fillId="0" borderId="0" xfId="0" applyFont="1"/>
    <xf numFmtId="14" fontId="0" fillId="0" borderId="0" xfId="0" applyNumberFormat="1"/>
    <xf numFmtId="8" fontId="0" fillId="0" borderId="0" xfId="0" applyNumberFormat="1"/>
    <xf numFmtId="10" fontId="0" fillId="0" borderId="0" xfId="1" applyNumberFormat="1" applyFont="1"/>
    <xf numFmtId="2" fontId="0" fillId="0" borderId="0" xfId="0" applyNumberFormat="1"/>
    <xf numFmtId="6" fontId="0" fillId="0" borderId="0" xfId="0" applyNumberFormat="1"/>
    <xf numFmtId="0" fontId="0" fillId="0" borderId="0" xfId="0" applyAlignment="1">
      <alignment horizontal="right"/>
    </xf>
    <xf numFmtId="0" fontId="4" fillId="9" borderId="0" xfId="0" applyFont="1" applyFill="1"/>
    <xf numFmtId="2" fontId="0" fillId="3" borderId="1" xfId="0" applyNumberFormat="1" applyFill="1" applyBorder="1"/>
    <xf numFmtId="0" fontId="1" fillId="2" borderId="13" xfId="0" applyFont="1" applyFill="1" applyBorder="1"/>
    <xf numFmtId="0" fontId="0" fillId="2" borderId="16" xfId="0" applyFill="1" applyBorder="1"/>
    <xf numFmtId="0" fontId="0" fillId="2" borderId="17" xfId="0" applyFill="1" applyBorder="1"/>
    <xf numFmtId="0" fontId="0" fillId="3" borderId="16" xfId="0" applyFill="1" applyBorder="1"/>
    <xf numFmtId="2" fontId="0" fillId="3" borderId="16" xfId="0" applyNumberFormat="1" applyFill="1" applyBorder="1"/>
    <xf numFmtId="0" fontId="1" fillId="2" borderId="18" xfId="0" applyFont="1" applyFill="1" applyBorder="1"/>
    <xf numFmtId="0" fontId="0" fillId="2" borderId="14" xfId="0" applyFill="1" applyBorder="1"/>
    <xf numFmtId="0" fontId="0" fillId="2" borderId="19" xfId="0" applyFill="1" applyBorder="1"/>
    <xf numFmtId="0" fontId="0" fillId="2" borderId="20" xfId="0" applyFill="1" applyBorder="1"/>
    <xf numFmtId="0" fontId="1" fillId="2" borderId="21" xfId="0" applyFont="1" applyFill="1" applyBorder="1" applyAlignment="1">
      <alignment horizontal="right"/>
    </xf>
    <xf numFmtId="0" fontId="1" fillId="2" borderId="22" xfId="0" applyFont="1" applyFill="1" applyBorder="1"/>
    <xf numFmtId="0" fontId="1" fillId="2" borderId="23" xfId="0" applyFont="1" applyFill="1" applyBorder="1" applyAlignment="1">
      <alignment horizontal="right"/>
    </xf>
    <xf numFmtId="0" fontId="1" fillId="2" borderId="24" xfId="0" applyFont="1" applyFill="1" applyBorder="1"/>
    <xf numFmtId="0" fontId="0" fillId="0" borderId="1" xfId="0" applyBorder="1"/>
    <xf numFmtId="0" fontId="0" fillId="0" borderId="14" xfId="0" applyBorder="1"/>
    <xf numFmtId="0" fontId="0" fillId="0" borderId="25" xfId="0" applyBorder="1"/>
    <xf numFmtId="0" fontId="0" fillId="0" borderId="3" xfId="0" applyBorder="1"/>
    <xf numFmtId="0" fontId="12" fillId="0" borderId="0" xfId="0" applyFont="1"/>
    <xf numFmtId="0" fontId="0" fillId="0" borderId="0" xfId="0" pivotButton="1"/>
    <xf numFmtId="14" fontId="0" fillId="0" borderId="0" xfId="0" applyNumberFormat="1" applyAlignment="1">
      <alignment horizontal="left"/>
    </xf>
    <xf numFmtId="164" fontId="1" fillId="2" borderId="27" xfId="0" applyNumberFormat="1" applyFont="1" applyFill="1" applyBorder="1"/>
    <xf numFmtId="164" fontId="1" fillId="2" borderId="28" xfId="0" applyNumberFormat="1" applyFont="1" applyFill="1" applyBorder="1"/>
    <xf numFmtId="164" fontId="1" fillId="2" borderId="29" xfId="0" applyNumberFormat="1" applyFont="1" applyFill="1" applyBorder="1"/>
    <xf numFmtId="164" fontId="1" fillId="2" borderId="30" xfId="0" applyNumberFormat="1" applyFont="1" applyFill="1" applyBorder="1"/>
    <xf numFmtId="0" fontId="1" fillId="0" borderId="4" xfId="0" applyFont="1" applyBorder="1"/>
    <xf numFmtId="0" fontId="1" fillId="0" borderId="36" xfId="0" applyFont="1" applyBorder="1"/>
    <xf numFmtId="0" fontId="1" fillId="0" borderId="37" xfId="0" applyFont="1" applyBorder="1"/>
    <xf numFmtId="168" fontId="0" fillId="0" borderId="25" xfId="0" applyNumberFormat="1" applyBorder="1"/>
    <xf numFmtId="0" fontId="0" fillId="0" borderId="34" xfId="0" applyBorder="1"/>
    <xf numFmtId="2" fontId="0" fillId="0" borderId="1" xfId="0" applyNumberFormat="1" applyBorder="1"/>
    <xf numFmtId="0" fontId="0" fillId="3" borderId="26" xfId="0" applyFill="1" applyBorder="1"/>
    <xf numFmtId="0" fontId="0" fillId="3" borderId="38" xfId="0" applyFill="1" applyBorder="1"/>
    <xf numFmtId="0" fontId="0" fillId="3" borderId="39" xfId="0" applyFill="1" applyBorder="1"/>
    <xf numFmtId="0" fontId="1" fillId="3" borderId="12" xfId="0" applyFont="1" applyFill="1" applyBorder="1"/>
    <xf numFmtId="0" fontId="1" fillId="3" borderId="3" xfId="0" applyFont="1" applyFill="1" applyBorder="1"/>
    <xf numFmtId="0" fontId="1" fillId="3" borderId="31" xfId="0" applyFont="1" applyFill="1" applyBorder="1"/>
    <xf numFmtId="0" fontId="1" fillId="3" borderId="5" xfId="0" applyFont="1" applyFill="1" applyBorder="1"/>
    <xf numFmtId="0" fontId="1" fillId="3" borderId="40" xfId="0" applyFont="1" applyFill="1" applyBorder="1" applyAlignment="1">
      <alignment horizontal="right"/>
    </xf>
    <xf numFmtId="2" fontId="1" fillId="3" borderId="32" xfId="0" applyNumberFormat="1" applyFont="1" applyFill="1" applyBorder="1"/>
    <xf numFmtId="2" fontId="1" fillId="3" borderId="33" xfId="0" applyNumberFormat="1" applyFont="1" applyFill="1" applyBorder="1" applyAlignment="1">
      <alignment horizontal="right"/>
    </xf>
    <xf numFmtId="2" fontId="1" fillId="3" borderId="15" xfId="0" applyNumberFormat="1" applyFont="1" applyFill="1" applyBorder="1"/>
    <xf numFmtId="168" fontId="0" fillId="0" borderId="0" xfId="0" applyNumberFormat="1"/>
    <xf numFmtId="9" fontId="0" fillId="0" borderId="0" xfId="1" applyFont="1"/>
    <xf numFmtId="14" fontId="12" fillId="0" borderId="0" xfId="0" applyNumberFormat="1" applyFont="1"/>
    <xf numFmtId="169" fontId="0" fillId="0" borderId="0" xfId="0" applyNumberFormat="1"/>
    <xf numFmtId="0" fontId="0" fillId="0" borderId="9" xfId="0" applyBorder="1"/>
    <xf numFmtId="0" fontId="9" fillId="10" borderId="0" xfId="0" applyFont="1" applyFill="1"/>
    <xf numFmtId="0" fontId="0" fillId="10" borderId="0" xfId="0" applyFill="1"/>
    <xf numFmtId="165" fontId="0" fillId="10" borderId="0" xfId="0" applyNumberFormat="1" applyFill="1"/>
    <xf numFmtId="0" fontId="1" fillId="10" borderId="0" xfId="0" applyFont="1" applyFill="1"/>
    <xf numFmtId="14" fontId="0" fillId="10" borderId="0" xfId="0" applyNumberFormat="1" applyFill="1" applyAlignment="1">
      <alignment horizontal="left"/>
    </xf>
    <xf numFmtId="0" fontId="1" fillId="0" borderId="35" xfId="0" applyFont="1" applyBorder="1" applyAlignment="1">
      <alignment horizontal="left"/>
    </xf>
    <xf numFmtId="0" fontId="0" fillId="0" borderId="10" xfId="0" applyBorder="1" applyAlignment="1">
      <alignment horizontal="left"/>
    </xf>
    <xf numFmtId="0" fontId="0" fillId="0" borderId="26" xfId="0" applyBorder="1" applyAlignment="1">
      <alignment horizontal="left"/>
    </xf>
    <xf numFmtId="0" fontId="0" fillId="0" borderId="0" xfId="0" applyAlignment="1">
      <alignment horizontal="left"/>
    </xf>
    <xf numFmtId="2" fontId="0" fillId="0" borderId="14" xfId="0" applyNumberFormat="1" applyBorder="1"/>
    <xf numFmtId="0" fontId="0" fillId="0" borderId="8" xfId="0" applyBorder="1" applyAlignment="1">
      <alignment horizontal="left"/>
    </xf>
    <xf numFmtId="2" fontId="0" fillId="0" borderId="14" xfId="0" applyNumberFormat="1" applyBorder="1" applyAlignment="1">
      <alignment horizontal="right"/>
    </xf>
    <xf numFmtId="2" fontId="0" fillId="0" borderId="6" xfId="0" applyNumberFormat="1" applyBorder="1"/>
    <xf numFmtId="2" fontId="0" fillId="0" borderId="1" xfId="0" applyNumberFormat="1" applyBorder="1" applyAlignment="1">
      <alignment horizontal="right"/>
    </xf>
    <xf numFmtId="2" fontId="0" fillId="0" borderId="34" xfId="0" applyNumberFormat="1" applyBorder="1"/>
    <xf numFmtId="0" fontId="13" fillId="0" borderId="41" xfId="2"/>
    <xf numFmtId="0" fontId="13" fillId="0" borderId="41" xfId="2" applyAlignment="1">
      <alignment horizontal="left"/>
    </xf>
    <xf numFmtId="17" fontId="0" fillId="0" borderId="0" xfId="0" applyNumberFormat="1"/>
    <xf numFmtId="17" fontId="0" fillId="0" borderId="1" xfId="0" applyNumberFormat="1" applyBorder="1"/>
    <xf numFmtId="17" fontId="0" fillId="0" borderId="14" xfId="0" applyNumberFormat="1" applyBorder="1"/>
    <xf numFmtId="0" fontId="0" fillId="0" borderId="6" xfId="0" applyBorder="1"/>
    <xf numFmtId="169" fontId="14" fillId="0" borderId="0" xfId="0" applyNumberFormat="1" applyFont="1"/>
    <xf numFmtId="168" fontId="0" fillId="0" borderId="1" xfId="0" applyNumberFormat="1" applyBorder="1"/>
    <xf numFmtId="0" fontId="0" fillId="3" borderId="0" xfId="0" applyFill="1"/>
    <xf numFmtId="1" fontId="7" fillId="7" borderId="6" xfId="0" applyNumberFormat="1" applyFont="1" applyFill="1" applyBorder="1" applyAlignment="1">
      <alignment horizontal="center" vertical="center"/>
    </xf>
    <xf numFmtId="1" fontId="7" fillId="7" borderId="7" xfId="0" applyNumberFormat="1" applyFont="1" applyFill="1" applyBorder="1" applyAlignment="1">
      <alignment horizontal="center" vertical="center"/>
    </xf>
    <xf numFmtId="1" fontId="7" fillId="7" borderId="8" xfId="0" applyNumberFormat="1" applyFont="1" applyFill="1" applyBorder="1" applyAlignment="1">
      <alignment horizontal="center" vertical="center"/>
    </xf>
    <xf numFmtId="1" fontId="7" fillId="7" borderId="9" xfId="0" applyNumberFormat="1" applyFont="1" applyFill="1" applyBorder="1" applyAlignment="1">
      <alignment horizontal="center" vertical="center"/>
    </xf>
    <xf numFmtId="1" fontId="7" fillId="7" borderId="0" xfId="0" applyNumberFormat="1" applyFont="1" applyFill="1" applyAlignment="1">
      <alignment horizontal="center" vertical="center"/>
    </xf>
    <xf numFmtId="1" fontId="7" fillId="7" borderId="10" xfId="0" applyNumberFormat="1" applyFont="1" applyFill="1" applyBorder="1" applyAlignment="1">
      <alignment horizontal="center" vertical="center"/>
    </xf>
    <xf numFmtId="1" fontId="7" fillId="7" borderId="11" xfId="0" applyNumberFormat="1" applyFont="1" applyFill="1" applyBorder="1" applyAlignment="1">
      <alignment horizontal="center" vertical="center"/>
    </xf>
    <xf numFmtId="1" fontId="7" fillId="7" borderId="5" xfId="0" applyNumberFormat="1" applyFont="1" applyFill="1" applyBorder="1" applyAlignment="1">
      <alignment horizontal="center" vertical="center"/>
    </xf>
    <xf numFmtId="1" fontId="7" fillId="7" borderId="12" xfId="0" applyNumberFormat="1" applyFont="1" applyFill="1" applyBorder="1" applyAlignment="1">
      <alignment horizontal="center" vertical="center"/>
    </xf>
    <xf numFmtId="0" fontId="7" fillId="7" borderId="6" xfId="0" applyFont="1" applyFill="1" applyBorder="1" applyAlignment="1">
      <alignment horizontal="center" vertical="center"/>
    </xf>
    <xf numFmtId="0" fontId="7" fillId="7" borderId="7" xfId="0" applyFont="1" applyFill="1" applyBorder="1" applyAlignment="1">
      <alignment horizontal="center" vertical="center"/>
    </xf>
    <xf numFmtId="0" fontId="7" fillId="7" borderId="8" xfId="0" applyFont="1" applyFill="1" applyBorder="1" applyAlignment="1">
      <alignment horizontal="center" vertical="center"/>
    </xf>
    <xf numFmtId="0" fontId="7" fillId="7" borderId="9" xfId="0" applyFont="1" applyFill="1" applyBorder="1" applyAlignment="1">
      <alignment horizontal="center" vertical="center"/>
    </xf>
    <xf numFmtId="0" fontId="7" fillId="7" borderId="0" xfId="0" applyFont="1" applyFill="1" applyAlignment="1">
      <alignment horizontal="center" vertical="center"/>
    </xf>
    <xf numFmtId="0" fontId="7" fillId="7" borderId="10" xfId="0" applyFont="1" applyFill="1" applyBorder="1" applyAlignment="1">
      <alignment horizontal="center" vertical="center"/>
    </xf>
    <xf numFmtId="0" fontId="7" fillId="7" borderId="11" xfId="0" applyFont="1" applyFill="1" applyBorder="1" applyAlignment="1">
      <alignment horizontal="center" vertical="center"/>
    </xf>
    <xf numFmtId="0" fontId="7" fillId="7" borderId="5" xfId="0" applyFont="1" applyFill="1" applyBorder="1" applyAlignment="1">
      <alignment horizontal="center" vertical="center"/>
    </xf>
    <xf numFmtId="0" fontId="7" fillId="7" borderId="12" xfId="0" applyFont="1" applyFill="1" applyBorder="1" applyAlignment="1">
      <alignment horizontal="center" vertical="center"/>
    </xf>
  </cellXfs>
  <cellStyles count="3">
    <cellStyle name="Heading 1" xfId="2" builtinId="16"/>
    <cellStyle name="Normal" xfId="0" builtinId="0"/>
    <cellStyle name="Per cent" xfId="1" builtinId="5"/>
  </cellStyles>
  <dxfs count="118">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numFmt numFmtId="19" formatCode="dd/mm/yyyy"/>
    </dxf>
    <dxf>
      <numFmt numFmtId="19" formatCode="dd/mm/yyyy"/>
    </dxf>
    <dxf>
      <fill>
        <patternFill patternType="none">
          <fgColor indexed="64"/>
          <bgColor auto="1"/>
        </patternFill>
      </fill>
      <border diagonalUp="0" diagonalDown="0" outline="0">
        <left style="thin">
          <color indexed="64"/>
        </left>
        <right/>
        <top style="thin">
          <color indexed="64"/>
        </top>
        <bottom style="thin">
          <color indexed="64"/>
        </bottom>
      </border>
    </dxf>
    <dxf>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168" formatCode="mmm\ yy"/>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left style="medium">
          <color indexed="64"/>
        </left>
        <right style="medium">
          <color indexed="64"/>
        </right>
        <top style="medium">
          <color indexed="64"/>
        </top>
        <bottom style="medium">
          <color indexed="64"/>
        </bottom>
      </border>
    </dxf>
    <dxf>
      <fill>
        <patternFill patternType="none">
          <fgColor indexed="64"/>
          <bgColor auto="1"/>
        </patternFill>
      </fill>
    </dxf>
    <dxf>
      <border outline="0">
        <bottom style="medium">
          <color indexed="64"/>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dxf>
    <dxf>
      <numFmt numFmtId="0" formatCode="General"/>
      <fill>
        <patternFill patternType="solid">
          <fgColor indexed="64"/>
          <bgColor theme="5" tint="0.79998168889431442"/>
        </patternFill>
      </fill>
      <border diagonalUp="0" diagonalDown="0">
        <left style="thin">
          <color indexed="64"/>
        </left>
        <right style="medium">
          <color indexed="64"/>
        </right>
        <top style="thin">
          <color indexed="64"/>
        </top>
        <bottom style="thin">
          <color indexed="64"/>
        </bottom>
        <vertical/>
        <horizontal/>
      </border>
    </dxf>
    <dxf>
      <fill>
        <patternFill patternType="solid">
          <fgColor indexed="64"/>
          <bgColor theme="5" tint="0.79998168889431442"/>
        </patternFill>
      </fill>
      <border diagonalUp="0" diagonalDown="0">
        <left style="medium">
          <color indexed="64"/>
        </left>
        <right/>
        <top style="thin">
          <color indexed="64"/>
        </top>
        <bottom style="thin">
          <color indexed="64"/>
        </bottom>
        <vertical/>
        <horizontal/>
      </border>
    </dxf>
    <dxf>
      <numFmt numFmtId="2" formatCode="0.00"/>
      <fill>
        <patternFill patternType="solid">
          <fgColor indexed="64"/>
          <bgColor theme="5" tint="0.79998168889431442"/>
        </patternFill>
      </fill>
      <border diagonalUp="0" diagonalDown="0">
        <left style="thin">
          <color indexed="64"/>
        </left>
        <right style="medium">
          <color indexed="64"/>
        </right>
        <top style="thin">
          <color indexed="64"/>
        </top>
        <bottom style="thin">
          <color indexed="64"/>
        </bottom>
        <vertical/>
        <horizontal/>
      </border>
    </dxf>
    <dxf>
      <numFmt numFmtId="2" formatCode="0.00"/>
      <fill>
        <patternFill patternType="solid">
          <fgColor indexed="64"/>
          <bgColor theme="5" tint="0.79998168889431442"/>
        </patternFill>
      </fill>
      <border diagonalUp="0" diagonalDown="0">
        <left style="thin">
          <color indexed="64"/>
        </left>
        <right style="thin">
          <color indexed="64"/>
        </right>
        <top style="thin">
          <color indexed="64"/>
        </top>
        <bottom style="thin">
          <color indexed="64"/>
        </bottom>
        <vertical/>
        <horizontal/>
      </border>
    </dxf>
    <dxf>
      <numFmt numFmtId="2" formatCode="0.00"/>
      <fill>
        <patternFill patternType="solid">
          <fgColor indexed="64"/>
          <bgColor theme="5" tint="0.79998168889431442"/>
        </patternFill>
      </fill>
      <border diagonalUp="0" diagonalDown="0">
        <left style="thin">
          <color indexed="64"/>
        </left>
        <right style="thin">
          <color indexed="64"/>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5" tint="0.79998168889431442"/>
        </patternFill>
      </fill>
    </dxf>
    <dxf>
      <fill>
        <patternFill patternType="solid">
          <fgColor indexed="64"/>
          <bgColor theme="5" tint="0.79998168889431442"/>
        </patternFill>
      </fill>
      <border diagonalUp="0" diagonalDown="0">
        <left style="medium">
          <color indexed="64"/>
        </left>
        <right/>
        <top style="thin">
          <color indexed="64"/>
        </top>
        <bottom style="thin">
          <color indexed="64"/>
        </bottom>
        <vertical/>
        <horizontal/>
      </border>
    </dxf>
    <dxf>
      <numFmt numFmtId="2" formatCode="0.00"/>
      <fill>
        <patternFill patternType="solid">
          <fgColor indexed="64"/>
          <bgColor theme="5" tint="0.79998168889431442"/>
        </patternFill>
      </fill>
      <border diagonalUp="0" diagonalDown="0">
        <left style="thin">
          <color indexed="64"/>
        </left>
        <right style="medium">
          <color indexed="64"/>
        </right>
        <top style="thin">
          <color indexed="64"/>
        </top>
        <bottom style="thin">
          <color indexed="64"/>
        </bottom>
        <vertical/>
        <horizontal/>
      </border>
    </dxf>
    <dxf>
      <numFmt numFmtId="2" formatCode="0.00"/>
      <fill>
        <patternFill patternType="solid">
          <fgColor indexed="64"/>
          <bgColor theme="5" tint="0.79998168889431442"/>
        </patternFill>
      </fill>
      <border diagonalUp="0" diagonalDown="0">
        <left style="thin">
          <color indexed="64"/>
        </left>
        <right style="thin">
          <color indexed="64"/>
        </right>
        <top style="thin">
          <color indexed="64"/>
        </top>
        <bottom style="thin">
          <color indexed="64"/>
        </bottom>
        <vertical/>
        <horizontal/>
      </border>
    </dxf>
    <dxf>
      <numFmt numFmtId="2" formatCode="0.00"/>
      <fill>
        <patternFill patternType="solid">
          <fgColor indexed="64"/>
          <bgColor theme="5" tint="0.79998168889431442"/>
        </patternFill>
      </fill>
      <border diagonalUp="0" diagonalDown="0">
        <left style="thin">
          <color indexed="64"/>
        </left>
        <right style="thin">
          <color indexed="64"/>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5" tint="0.79998168889431442"/>
        </patternFill>
      </fill>
    </dxf>
    <dxf>
      <numFmt numFmtId="165" formatCode="&quot;£&quot;#,##0.00"/>
    </dxf>
    <dxf>
      <numFmt numFmtId="165" formatCode="&quot;£&quot;#,##0.00"/>
    </dxf>
    <dxf>
      <numFmt numFmtId="165" formatCode="&quot;£&quot;#,##0.00"/>
    </dxf>
    <dxf>
      <numFmt numFmtId="165" formatCode="&quot;£&quot;#,##0.00"/>
    </dxf>
    <dxf>
      <numFmt numFmtId="165" formatCode="&quot;£&quot;#,##0.00"/>
    </dxf>
    <dxf>
      <numFmt numFmtId="19" formatCode="dd/mm/yyyy"/>
    </dxf>
    <dxf>
      <numFmt numFmtId="19" formatCode="dd/mm/yyyy"/>
    </dxf>
    <dxf>
      <numFmt numFmtId="19" formatCode="dd/mm/yyyy"/>
    </dxf>
    <dxf>
      <numFmt numFmtId="19" formatCode="dd/mm/yyyy"/>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numFmt numFmtId="0" formatCode="General"/>
    </dxf>
    <dxf>
      <numFmt numFmtId="0" formatCode="General"/>
    </dxf>
    <dxf>
      <numFmt numFmtId="22" formatCode="mmm\-yy"/>
    </dxf>
  </dxfs>
  <tableStyles count="0" defaultTableStyle="TableStyleMedium2" defaultPivotStyle="PivotStyleLight16"/>
  <colors>
    <mruColors>
      <color rgb="FFFF6C5E"/>
      <color rgb="FFD88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[ECONOMIC EVALUATION.xlsx]Net Worth Dashboard!PivotTable2</c:name>
    <c:fmtId val="0"/>
  </c:pivotSource>
  <c:chart>
    <c:title>
      <c:tx>
        <c:rich>
          <a:bodyPr rot="0" spcFirstLastPara="1" vertOverflow="ellipsis" vert="horz" wrap="square" anchor="ctr" anchorCtr="1"/>
          <a:lstStyle/>
          <a:p>
            <a:pPr>
              <a:defRPr sz="2000" b="1" i="0" u="none" strike="noStrike" kern="1200" cap="none" spc="20" baseline="0">
                <a:solidFill>
                  <a:schemeClr val="tx1">
                    <a:lumMod val="50000"/>
                    <a:lumOff val="50000"/>
                  </a:schemeClr>
                </a:solidFill>
                <a:latin typeface="+mj-lt"/>
                <a:ea typeface="+mn-ea"/>
                <a:cs typeface="+mn-cs"/>
              </a:defRPr>
            </a:pPr>
            <a:r>
              <a:rPr lang="en-GB" sz="2000" b="1">
                <a:latin typeface="+mj-lt"/>
              </a:rPr>
              <a:t>Net Worth - Breakdown</a:t>
            </a:r>
          </a:p>
        </c:rich>
      </c:tx>
      <c:overlay val="0"/>
      <c:spPr>
        <a:noFill/>
        <a:ln>
          <a:noFill/>
        </a:ln>
        <a:effectLst/>
      </c:spPr>
      <c:txPr>
        <a:bodyPr rot="0" spcFirstLastPara="1" vertOverflow="ellipsis" vert="horz" wrap="square" anchor="ctr" anchorCtr="1"/>
        <a:lstStyle/>
        <a:p>
          <a:pPr>
            <a:defRPr sz="2000" b="1" i="0" u="none" strike="noStrike" kern="1200" cap="none" spc="20" baseline="0">
              <a:solidFill>
                <a:schemeClr val="tx1">
                  <a:lumMod val="50000"/>
                  <a:lumOff val="50000"/>
                </a:schemeClr>
              </a:solidFill>
              <a:latin typeface="+mj-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'Net Worth Dashboard'!$B$42:$B$43</c:f>
              <c:strCache>
                <c:ptCount val="1"/>
                <c:pt idx="0">
                  <c:v>Credit</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cat>
            <c:strRef>
              <c:f>'Net Worth Dashboard'!$A$44:$A$59</c:f>
              <c:strCache>
                <c:ptCount val="15"/>
                <c:pt idx="0">
                  <c:v>28/12/2024</c:v>
                </c:pt>
                <c:pt idx="1">
                  <c:v>30/12/2024</c:v>
                </c:pt>
                <c:pt idx="2">
                  <c:v>02/03/2025</c:v>
                </c:pt>
                <c:pt idx="3">
                  <c:v>02/04/2025</c:v>
                </c:pt>
                <c:pt idx="4">
                  <c:v>14/05/2025</c:v>
                </c:pt>
                <c:pt idx="5">
                  <c:v>31/05/2025</c:v>
                </c:pt>
                <c:pt idx="6">
                  <c:v>01/07/2025</c:v>
                </c:pt>
                <c:pt idx="7">
                  <c:v>03/08/2025</c:v>
                </c:pt>
                <c:pt idx="8">
                  <c:v>01/11/2025</c:v>
                </c:pt>
                <c:pt idx="9">
                  <c:v>09/12/2025</c:v>
                </c:pt>
                <c:pt idx="10">
                  <c:v>30/12/2025</c:v>
                </c:pt>
                <c:pt idx="11">
                  <c:v>10/02/2026</c:v>
                </c:pt>
                <c:pt idx="12">
                  <c:v>06/04/2026</c:v>
                </c:pt>
                <c:pt idx="13">
                  <c:v>15/05/2026</c:v>
                </c:pt>
                <c:pt idx="14">
                  <c:v>04/06/2026</c:v>
                </c:pt>
              </c:strCache>
            </c:strRef>
          </c:cat>
          <c:val>
            <c:numRef>
              <c:f>'Net Worth Dashboard'!$B$44:$B$59</c:f>
              <c:numCache>
                <c:formatCode>"£"#,##0.00</c:formatCode>
                <c:ptCount val="15"/>
                <c:pt idx="0">
                  <c:v>-675</c:v>
                </c:pt>
                <c:pt idx="1">
                  <c:v>-575</c:v>
                </c:pt>
                <c:pt idx="2">
                  <c:v>0</c:v>
                </c:pt>
                <c:pt idx="3">
                  <c:v>0</c:v>
                </c:pt>
                <c:pt idx="4">
                  <c:v>-408.77</c:v>
                </c:pt>
                <c:pt idx="5">
                  <c:v>0</c:v>
                </c:pt>
                <c:pt idx="6">
                  <c:v>339</c:v>
                </c:pt>
                <c:pt idx="7">
                  <c:v>0</c:v>
                </c:pt>
                <c:pt idx="8">
                  <c:v>0</c:v>
                </c:pt>
                <c:pt idx="9">
                  <c:v>110</c:v>
                </c:pt>
                <c:pt idx="10">
                  <c:v>0</c:v>
                </c:pt>
                <c:pt idx="11">
                  <c:v>0</c:v>
                </c:pt>
                <c:pt idx="12">
                  <c:v>0</c:v>
                </c:pt>
                <c:pt idx="13">
                  <c:v>0</c:v>
                </c:pt>
                <c:pt idx="14">
                  <c:v>0</c:v>
                </c:pt>
              </c:numCache>
            </c:numRef>
          </c:val>
          <c:extLst>
            <c:ext xmlns:c16="http://schemas.microsoft.com/office/drawing/2014/chart" uri="{C3380CC4-5D6E-409C-BE32-E72D297353CC}">
              <c16:uniqueId val="{00000000-8DD1-C244-AF00-3CA5EF26A968}"/>
            </c:ext>
          </c:extLst>
        </c:ser>
        <c:ser>
          <c:idx val="1"/>
          <c:order val="1"/>
          <c:tx>
            <c:strRef>
              <c:f>'Net Worth Dashboard'!$C$42:$C$43</c:f>
              <c:strCache>
                <c:ptCount val="1"/>
                <c:pt idx="0">
                  <c:v>Crypto</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cat>
            <c:strRef>
              <c:f>'Net Worth Dashboard'!$A$44:$A$59</c:f>
              <c:strCache>
                <c:ptCount val="15"/>
                <c:pt idx="0">
                  <c:v>28/12/2024</c:v>
                </c:pt>
                <c:pt idx="1">
                  <c:v>30/12/2024</c:v>
                </c:pt>
                <c:pt idx="2">
                  <c:v>02/03/2025</c:v>
                </c:pt>
                <c:pt idx="3">
                  <c:v>02/04/2025</c:v>
                </c:pt>
                <c:pt idx="4">
                  <c:v>14/05/2025</c:v>
                </c:pt>
                <c:pt idx="5">
                  <c:v>31/05/2025</c:v>
                </c:pt>
                <c:pt idx="6">
                  <c:v>01/07/2025</c:v>
                </c:pt>
                <c:pt idx="7">
                  <c:v>03/08/2025</c:v>
                </c:pt>
                <c:pt idx="8">
                  <c:v>01/11/2025</c:v>
                </c:pt>
                <c:pt idx="9">
                  <c:v>09/12/2025</c:v>
                </c:pt>
                <c:pt idx="10">
                  <c:v>30/12/2025</c:v>
                </c:pt>
                <c:pt idx="11">
                  <c:v>10/02/2026</c:v>
                </c:pt>
                <c:pt idx="12">
                  <c:v>06/04/2026</c:v>
                </c:pt>
                <c:pt idx="13">
                  <c:v>15/05/2026</c:v>
                </c:pt>
                <c:pt idx="14">
                  <c:v>04/06/2026</c:v>
                </c:pt>
              </c:strCache>
            </c:strRef>
          </c:cat>
          <c:val>
            <c:numRef>
              <c:f>'Net Worth Dashboard'!$C$44:$C$59</c:f>
              <c:numCache>
                <c:formatCode>"£"#,##0.00</c:formatCode>
                <c:ptCount val="15"/>
                <c:pt idx="0">
                  <c:v>2568</c:v>
                </c:pt>
                <c:pt idx="1">
                  <c:v>2668</c:v>
                </c:pt>
                <c:pt idx="2">
                  <c:v>2105</c:v>
                </c:pt>
                <c:pt idx="3">
                  <c:v>2271.64</c:v>
                </c:pt>
                <c:pt idx="4">
                  <c:v>2152</c:v>
                </c:pt>
                <c:pt idx="5">
                  <c:v>2000</c:v>
                </c:pt>
                <c:pt idx="6">
                  <c:v>1890</c:v>
                </c:pt>
                <c:pt idx="7">
                  <c:v>2250</c:v>
                </c:pt>
                <c:pt idx="8">
                  <c:v>2225.0100000000002</c:v>
                </c:pt>
                <c:pt idx="9">
                  <c:v>1741</c:v>
                </c:pt>
                <c:pt idx="10">
                  <c:v>1700</c:v>
                </c:pt>
                <c:pt idx="11">
                  <c:v>1500</c:v>
                </c:pt>
                <c:pt idx="12">
                  <c:v>1267</c:v>
                </c:pt>
                <c:pt idx="13">
                  <c:v>1500</c:v>
                </c:pt>
                <c:pt idx="14">
                  <c:v>1200</c:v>
                </c:pt>
              </c:numCache>
            </c:numRef>
          </c:val>
          <c:extLst>
            <c:ext xmlns:c16="http://schemas.microsoft.com/office/drawing/2014/chart" uri="{C3380CC4-5D6E-409C-BE32-E72D297353CC}">
              <c16:uniqueId val="{00000007-19B9-4144-81BD-AAD12F38A113}"/>
            </c:ext>
          </c:extLst>
        </c:ser>
        <c:ser>
          <c:idx val="2"/>
          <c:order val="2"/>
          <c:tx>
            <c:strRef>
              <c:f>'Net Worth Dashboard'!$D$42:$D$43</c:f>
              <c:strCache>
                <c:ptCount val="1"/>
                <c:pt idx="0">
                  <c:v>Debit (Revolut)</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cat>
            <c:strRef>
              <c:f>'Net Worth Dashboard'!$A$44:$A$59</c:f>
              <c:strCache>
                <c:ptCount val="15"/>
                <c:pt idx="0">
                  <c:v>28/12/2024</c:v>
                </c:pt>
                <c:pt idx="1">
                  <c:v>30/12/2024</c:v>
                </c:pt>
                <c:pt idx="2">
                  <c:v>02/03/2025</c:v>
                </c:pt>
                <c:pt idx="3">
                  <c:v>02/04/2025</c:v>
                </c:pt>
                <c:pt idx="4">
                  <c:v>14/05/2025</c:v>
                </c:pt>
                <c:pt idx="5">
                  <c:v>31/05/2025</c:v>
                </c:pt>
                <c:pt idx="6">
                  <c:v>01/07/2025</c:v>
                </c:pt>
                <c:pt idx="7">
                  <c:v>03/08/2025</c:v>
                </c:pt>
                <c:pt idx="8">
                  <c:v>01/11/2025</c:v>
                </c:pt>
                <c:pt idx="9">
                  <c:v>09/12/2025</c:v>
                </c:pt>
                <c:pt idx="10">
                  <c:v>30/12/2025</c:v>
                </c:pt>
                <c:pt idx="11">
                  <c:v>10/02/2026</c:v>
                </c:pt>
                <c:pt idx="12">
                  <c:v>06/04/2026</c:v>
                </c:pt>
                <c:pt idx="13">
                  <c:v>15/05/2026</c:v>
                </c:pt>
                <c:pt idx="14">
                  <c:v>04/06/2026</c:v>
                </c:pt>
              </c:strCache>
            </c:strRef>
          </c:cat>
          <c:val>
            <c:numRef>
              <c:f>'Net Worth Dashboard'!$D$44:$D$59</c:f>
              <c:numCache>
                <c:formatCode>"£"#,##0.00</c:formatCode>
                <c:ptCount val="15"/>
                <c:pt idx="0">
                  <c:v>167</c:v>
                </c:pt>
                <c:pt idx="1">
                  <c:v>267</c:v>
                </c:pt>
                <c:pt idx="2">
                  <c:v>20</c:v>
                </c:pt>
                <c:pt idx="3">
                  <c:v>7</c:v>
                </c:pt>
                <c:pt idx="4">
                  <c:v>1.92</c:v>
                </c:pt>
                <c:pt idx="5">
                  <c:v>45</c:v>
                </c:pt>
                <c:pt idx="6">
                  <c:v>50</c:v>
                </c:pt>
                <c:pt idx="7">
                  <c:v>50</c:v>
                </c:pt>
                <c:pt idx="8">
                  <c:v>120</c:v>
                </c:pt>
                <c:pt idx="9">
                  <c:v>169</c:v>
                </c:pt>
                <c:pt idx="10">
                  <c:v>194</c:v>
                </c:pt>
                <c:pt idx="11">
                  <c:v>230</c:v>
                </c:pt>
                <c:pt idx="12">
                  <c:v>230</c:v>
                </c:pt>
                <c:pt idx="13">
                  <c:v>230</c:v>
                </c:pt>
                <c:pt idx="14">
                  <c:v>216</c:v>
                </c:pt>
              </c:numCache>
            </c:numRef>
          </c:val>
          <c:extLst>
            <c:ext xmlns:c16="http://schemas.microsoft.com/office/drawing/2014/chart" uri="{C3380CC4-5D6E-409C-BE32-E72D297353CC}">
              <c16:uniqueId val="{00000008-19B9-4144-81BD-AAD12F38A113}"/>
            </c:ext>
          </c:extLst>
        </c:ser>
        <c:ser>
          <c:idx val="3"/>
          <c:order val="3"/>
          <c:tx>
            <c:strRef>
              <c:f>'Net Worth Dashboard'!$E$42:$E$43</c:f>
              <c:strCache>
                <c:ptCount val="1"/>
                <c:pt idx="0">
                  <c:v>Monzo (Savings)</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cat>
            <c:strRef>
              <c:f>'Net Worth Dashboard'!$A$44:$A$59</c:f>
              <c:strCache>
                <c:ptCount val="15"/>
                <c:pt idx="0">
                  <c:v>28/12/2024</c:v>
                </c:pt>
                <c:pt idx="1">
                  <c:v>30/12/2024</c:v>
                </c:pt>
                <c:pt idx="2">
                  <c:v>02/03/2025</c:v>
                </c:pt>
                <c:pt idx="3">
                  <c:v>02/04/2025</c:v>
                </c:pt>
                <c:pt idx="4">
                  <c:v>14/05/2025</c:v>
                </c:pt>
                <c:pt idx="5">
                  <c:v>31/05/2025</c:v>
                </c:pt>
                <c:pt idx="6">
                  <c:v>01/07/2025</c:v>
                </c:pt>
                <c:pt idx="7">
                  <c:v>03/08/2025</c:v>
                </c:pt>
                <c:pt idx="8">
                  <c:v>01/11/2025</c:v>
                </c:pt>
                <c:pt idx="9">
                  <c:v>09/12/2025</c:v>
                </c:pt>
                <c:pt idx="10">
                  <c:v>30/12/2025</c:v>
                </c:pt>
                <c:pt idx="11">
                  <c:v>10/02/2026</c:v>
                </c:pt>
                <c:pt idx="12">
                  <c:v>06/04/2026</c:v>
                </c:pt>
                <c:pt idx="13">
                  <c:v>15/05/2026</c:v>
                </c:pt>
                <c:pt idx="14">
                  <c:v>04/06/2026</c:v>
                </c:pt>
              </c:strCache>
            </c:strRef>
          </c:cat>
          <c:val>
            <c:numRef>
              <c:f>'Net Worth Dashboard'!$E$44:$E$59</c:f>
              <c:numCache>
                <c:formatCode>"£"#,##0.00</c:formatCode>
                <c:ptCount val="15"/>
                <c:pt idx="0">
                  <c:v>2204</c:v>
                </c:pt>
                <c:pt idx="1">
                  <c:v>2304</c:v>
                </c:pt>
                <c:pt idx="2">
                  <c:v>426</c:v>
                </c:pt>
                <c:pt idx="3">
                  <c:v>4832.2299999999996</c:v>
                </c:pt>
                <c:pt idx="4">
                  <c:v>635</c:v>
                </c:pt>
                <c:pt idx="5">
                  <c:v>1135</c:v>
                </c:pt>
                <c:pt idx="6">
                  <c:v>1742</c:v>
                </c:pt>
                <c:pt idx="7">
                  <c:v>2798</c:v>
                </c:pt>
                <c:pt idx="8">
                  <c:v>4205</c:v>
                </c:pt>
                <c:pt idx="9">
                  <c:v>4024</c:v>
                </c:pt>
                <c:pt idx="10">
                  <c:v>4824</c:v>
                </c:pt>
                <c:pt idx="11">
                  <c:v>3607</c:v>
                </c:pt>
                <c:pt idx="12">
                  <c:v>596.6</c:v>
                </c:pt>
                <c:pt idx="13">
                  <c:v>597</c:v>
                </c:pt>
                <c:pt idx="14">
                  <c:v>1400</c:v>
                </c:pt>
              </c:numCache>
            </c:numRef>
          </c:val>
          <c:extLst>
            <c:ext xmlns:c16="http://schemas.microsoft.com/office/drawing/2014/chart" uri="{C3380CC4-5D6E-409C-BE32-E72D297353CC}">
              <c16:uniqueId val="{00000009-19B9-4144-81BD-AAD12F38A113}"/>
            </c:ext>
          </c:extLst>
        </c:ser>
        <c:ser>
          <c:idx val="4"/>
          <c:order val="4"/>
          <c:tx>
            <c:strRef>
              <c:f>'Net Worth Dashboard'!$F$42:$F$43</c:f>
              <c:strCache>
                <c:ptCount val="1"/>
                <c:pt idx="0">
                  <c:v>Monzo (Spend)</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cat>
            <c:strRef>
              <c:f>'Net Worth Dashboard'!$A$44:$A$59</c:f>
              <c:strCache>
                <c:ptCount val="15"/>
                <c:pt idx="0">
                  <c:v>28/12/2024</c:v>
                </c:pt>
                <c:pt idx="1">
                  <c:v>30/12/2024</c:v>
                </c:pt>
                <c:pt idx="2">
                  <c:v>02/03/2025</c:v>
                </c:pt>
                <c:pt idx="3">
                  <c:v>02/04/2025</c:v>
                </c:pt>
                <c:pt idx="4">
                  <c:v>14/05/2025</c:v>
                </c:pt>
                <c:pt idx="5">
                  <c:v>31/05/2025</c:v>
                </c:pt>
                <c:pt idx="6">
                  <c:v>01/07/2025</c:v>
                </c:pt>
                <c:pt idx="7">
                  <c:v>03/08/2025</c:v>
                </c:pt>
                <c:pt idx="8">
                  <c:v>01/11/2025</c:v>
                </c:pt>
                <c:pt idx="9">
                  <c:v>09/12/2025</c:v>
                </c:pt>
                <c:pt idx="10">
                  <c:v>30/12/2025</c:v>
                </c:pt>
                <c:pt idx="11">
                  <c:v>10/02/2026</c:v>
                </c:pt>
                <c:pt idx="12">
                  <c:v>06/04/2026</c:v>
                </c:pt>
                <c:pt idx="13">
                  <c:v>15/05/2026</c:v>
                </c:pt>
                <c:pt idx="14">
                  <c:v>04/06/2026</c:v>
                </c:pt>
              </c:strCache>
            </c:strRef>
          </c:cat>
          <c:val>
            <c:numRef>
              <c:f>'Net Worth Dashboard'!$F$44:$F$59</c:f>
              <c:numCache>
                <c:formatCode>"£"#,##0.00</c:formatCode>
                <c:ptCount val="15"/>
                <c:pt idx="0">
                  <c:v>3076</c:v>
                </c:pt>
                <c:pt idx="1">
                  <c:v>3176</c:v>
                </c:pt>
                <c:pt idx="2">
                  <c:v>1472</c:v>
                </c:pt>
                <c:pt idx="3">
                  <c:v>1897.69</c:v>
                </c:pt>
                <c:pt idx="4">
                  <c:v>1147.8800000000001</c:v>
                </c:pt>
                <c:pt idx="5">
                  <c:v>1500</c:v>
                </c:pt>
                <c:pt idx="6">
                  <c:v>1193</c:v>
                </c:pt>
                <c:pt idx="7">
                  <c:v>983</c:v>
                </c:pt>
                <c:pt idx="8">
                  <c:v>969</c:v>
                </c:pt>
                <c:pt idx="9">
                  <c:v>1070</c:v>
                </c:pt>
                <c:pt idx="10">
                  <c:v>1720</c:v>
                </c:pt>
                <c:pt idx="11">
                  <c:v>451</c:v>
                </c:pt>
                <c:pt idx="12">
                  <c:v>978.18</c:v>
                </c:pt>
                <c:pt idx="13">
                  <c:v>1045</c:v>
                </c:pt>
                <c:pt idx="14">
                  <c:v>621</c:v>
                </c:pt>
              </c:numCache>
            </c:numRef>
          </c:val>
          <c:extLst>
            <c:ext xmlns:c16="http://schemas.microsoft.com/office/drawing/2014/chart" uri="{C3380CC4-5D6E-409C-BE32-E72D297353CC}">
              <c16:uniqueId val="{0000000A-19B9-4144-81BD-AAD12F38A113}"/>
            </c:ext>
          </c:extLst>
        </c:ser>
        <c:ser>
          <c:idx val="5"/>
          <c:order val="5"/>
          <c:tx>
            <c:strRef>
              <c:f>'Net Worth Dashboard'!$G$42:$G$43</c:f>
              <c:strCache>
                <c:ptCount val="1"/>
                <c:pt idx="0">
                  <c:v>Moneybox (LISA)</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cat>
            <c:strRef>
              <c:f>'Net Worth Dashboard'!$A$44:$A$59</c:f>
              <c:strCache>
                <c:ptCount val="15"/>
                <c:pt idx="0">
                  <c:v>28/12/2024</c:v>
                </c:pt>
                <c:pt idx="1">
                  <c:v>30/12/2024</c:v>
                </c:pt>
                <c:pt idx="2">
                  <c:v>02/03/2025</c:v>
                </c:pt>
                <c:pt idx="3">
                  <c:v>02/04/2025</c:v>
                </c:pt>
                <c:pt idx="4">
                  <c:v>14/05/2025</c:v>
                </c:pt>
                <c:pt idx="5">
                  <c:v>31/05/2025</c:v>
                </c:pt>
                <c:pt idx="6">
                  <c:v>01/07/2025</c:v>
                </c:pt>
                <c:pt idx="7">
                  <c:v>03/08/2025</c:v>
                </c:pt>
                <c:pt idx="8">
                  <c:v>01/11/2025</c:v>
                </c:pt>
                <c:pt idx="9">
                  <c:v>09/12/2025</c:v>
                </c:pt>
                <c:pt idx="10">
                  <c:v>30/12/2025</c:v>
                </c:pt>
                <c:pt idx="11">
                  <c:v>10/02/2026</c:v>
                </c:pt>
                <c:pt idx="12">
                  <c:v>06/04/2026</c:v>
                </c:pt>
                <c:pt idx="13">
                  <c:v>15/05/2026</c:v>
                </c:pt>
                <c:pt idx="14">
                  <c:v>04/06/2026</c:v>
                </c:pt>
              </c:strCache>
            </c:strRef>
          </c:cat>
          <c:val>
            <c:numRef>
              <c:f>'Net Worth Dashboard'!$G$44:$G$59</c:f>
              <c:numCache>
                <c:formatCode>"£"#,##0.00</c:formatCode>
                <c:ptCount val="15"/>
                <c:pt idx="0">
                  <c:v>9943</c:v>
                </c:pt>
                <c:pt idx="1">
                  <c:v>10043</c:v>
                </c:pt>
                <c:pt idx="2">
                  <c:v>13883</c:v>
                </c:pt>
                <c:pt idx="3">
                  <c:v>14924.24</c:v>
                </c:pt>
                <c:pt idx="4">
                  <c:v>15234</c:v>
                </c:pt>
                <c:pt idx="5">
                  <c:v>15259</c:v>
                </c:pt>
                <c:pt idx="6">
                  <c:v>15301</c:v>
                </c:pt>
                <c:pt idx="7">
                  <c:v>15346</c:v>
                </c:pt>
                <c:pt idx="8">
                  <c:v>15462</c:v>
                </c:pt>
                <c:pt idx="9">
                  <c:v>15511</c:v>
                </c:pt>
                <c:pt idx="10">
                  <c:v>15538</c:v>
                </c:pt>
                <c:pt idx="11">
                  <c:v>15733</c:v>
                </c:pt>
                <c:pt idx="12">
                  <c:v>15800</c:v>
                </c:pt>
                <c:pt idx="13">
                  <c:v>15850</c:v>
                </c:pt>
                <c:pt idx="14">
                  <c:v>15892</c:v>
                </c:pt>
              </c:numCache>
            </c:numRef>
          </c:val>
          <c:extLst>
            <c:ext xmlns:c16="http://schemas.microsoft.com/office/drawing/2014/chart" uri="{C3380CC4-5D6E-409C-BE32-E72D297353CC}">
              <c16:uniqueId val="{0000000B-19B9-4144-81BD-AAD12F38A113}"/>
            </c:ext>
          </c:extLst>
        </c:ser>
        <c:ser>
          <c:idx val="6"/>
          <c:order val="6"/>
          <c:tx>
            <c:strRef>
              <c:f>'Net Worth Dashboard'!$H$42:$H$43</c:f>
              <c:strCache>
                <c:ptCount val="1"/>
                <c:pt idx="0">
                  <c:v>S&amp;S ISA</c:v>
                </c:pt>
              </c:strCache>
            </c:strRef>
          </c:tx>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cat>
            <c:strRef>
              <c:f>'Net Worth Dashboard'!$A$44:$A$59</c:f>
              <c:strCache>
                <c:ptCount val="15"/>
                <c:pt idx="0">
                  <c:v>28/12/2024</c:v>
                </c:pt>
                <c:pt idx="1">
                  <c:v>30/12/2024</c:v>
                </c:pt>
                <c:pt idx="2">
                  <c:v>02/03/2025</c:v>
                </c:pt>
                <c:pt idx="3">
                  <c:v>02/04/2025</c:v>
                </c:pt>
                <c:pt idx="4">
                  <c:v>14/05/2025</c:v>
                </c:pt>
                <c:pt idx="5">
                  <c:v>31/05/2025</c:v>
                </c:pt>
                <c:pt idx="6">
                  <c:v>01/07/2025</c:v>
                </c:pt>
                <c:pt idx="7">
                  <c:v>03/08/2025</c:v>
                </c:pt>
                <c:pt idx="8">
                  <c:v>01/11/2025</c:v>
                </c:pt>
                <c:pt idx="9">
                  <c:v>09/12/2025</c:v>
                </c:pt>
                <c:pt idx="10">
                  <c:v>30/12/2025</c:v>
                </c:pt>
                <c:pt idx="11">
                  <c:v>10/02/2026</c:v>
                </c:pt>
                <c:pt idx="12">
                  <c:v>06/04/2026</c:v>
                </c:pt>
                <c:pt idx="13">
                  <c:v>15/05/2026</c:v>
                </c:pt>
                <c:pt idx="14">
                  <c:v>04/06/2026</c:v>
                </c:pt>
              </c:strCache>
            </c:strRef>
          </c:cat>
          <c:val>
            <c:numRef>
              <c:f>'Net Worth Dashboard'!$H$44:$H$59</c:f>
              <c:numCache>
                <c:formatCode>"£"#,##0.00</c:formatCode>
                <c:ptCount val="15"/>
                <c:pt idx="0">
                  <c:v>5229</c:v>
                </c:pt>
                <c:pt idx="1">
                  <c:v>5329</c:v>
                </c:pt>
                <c:pt idx="2">
                  <c:v>5331.77</c:v>
                </c:pt>
                <c:pt idx="3">
                  <c:v>0</c:v>
                </c:pt>
                <c:pt idx="4">
                  <c:v>4274.6000000000004</c:v>
                </c:pt>
                <c:pt idx="5">
                  <c:v>4254</c:v>
                </c:pt>
                <c:pt idx="6">
                  <c:v>4370</c:v>
                </c:pt>
                <c:pt idx="7">
                  <c:v>4525</c:v>
                </c:pt>
                <c:pt idx="8">
                  <c:v>5022</c:v>
                </c:pt>
                <c:pt idx="9">
                  <c:v>4976.05</c:v>
                </c:pt>
                <c:pt idx="10">
                  <c:v>4972</c:v>
                </c:pt>
                <c:pt idx="11">
                  <c:v>5087</c:v>
                </c:pt>
                <c:pt idx="12">
                  <c:v>4961</c:v>
                </c:pt>
                <c:pt idx="13">
                  <c:v>5482</c:v>
                </c:pt>
                <c:pt idx="14">
                  <c:v>5574</c:v>
                </c:pt>
              </c:numCache>
            </c:numRef>
          </c:val>
          <c:extLst>
            <c:ext xmlns:c16="http://schemas.microsoft.com/office/drawing/2014/chart" uri="{C3380CC4-5D6E-409C-BE32-E72D297353CC}">
              <c16:uniqueId val="{0000000C-19B9-4144-81BD-AAD12F38A113}"/>
            </c:ext>
          </c:extLst>
        </c:ser>
        <c:ser>
          <c:idx val="7"/>
          <c:order val="7"/>
          <c:tx>
            <c:strRef>
              <c:f>'Net Worth Dashboard'!$I$42:$I$43</c:f>
              <c:strCache>
                <c:ptCount val="1"/>
                <c:pt idx="0">
                  <c:v>Chase</c:v>
                </c:pt>
              </c:strCache>
            </c:strRef>
          </c:tx>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cat>
            <c:strRef>
              <c:f>'Net Worth Dashboard'!$A$44:$A$59</c:f>
              <c:strCache>
                <c:ptCount val="15"/>
                <c:pt idx="0">
                  <c:v>28/12/2024</c:v>
                </c:pt>
                <c:pt idx="1">
                  <c:v>30/12/2024</c:v>
                </c:pt>
                <c:pt idx="2">
                  <c:v>02/03/2025</c:v>
                </c:pt>
                <c:pt idx="3">
                  <c:v>02/04/2025</c:v>
                </c:pt>
                <c:pt idx="4">
                  <c:v>14/05/2025</c:v>
                </c:pt>
                <c:pt idx="5">
                  <c:v>31/05/2025</c:v>
                </c:pt>
                <c:pt idx="6">
                  <c:v>01/07/2025</c:v>
                </c:pt>
                <c:pt idx="7">
                  <c:v>03/08/2025</c:v>
                </c:pt>
                <c:pt idx="8">
                  <c:v>01/11/2025</c:v>
                </c:pt>
                <c:pt idx="9">
                  <c:v>09/12/2025</c:v>
                </c:pt>
                <c:pt idx="10">
                  <c:v>30/12/2025</c:v>
                </c:pt>
                <c:pt idx="11">
                  <c:v>10/02/2026</c:v>
                </c:pt>
                <c:pt idx="12">
                  <c:v>06/04/2026</c:v>
                </c:pt>
                <c:pt idx="13">
                  <c:v>15/05/2026</c:v>
                </c:pt>
                <c:pt idx="14">
                  <c:v>04/06/2026</c:v>
                </c:pt>
              </c:strCache>
            </c:strRef>
          </c:cat>
          <c:val>
            <c:numRef>
              <c:f>'Net Worth Dashboard'!$I$44:$I$59</c:f>
              <c:numCache>
                <c:formatCode>"£"#,##0.00</c:formatCode>
                <c:ptCount val="15"/>
                <c:pt idx="12">
                  <c:v>2055.4499999999998</c:v>
                </c:pt>
                <c:pt idx="13">
                  <c:v>2062</c:v>
                </c:pt>
                <c:pt idx="14">
                  <c:v>17190</c:v>
                </c:pt>
              </c:numCache>
            </c:numRef>
          </c:val>
          <c:extLst>
            <c:ext xmlns:c16="http://schemas.microsoft.com/office/drawing/2014/chart" uri="{C3380CC4-5D6E-409C-BE32-E72D297353CC}">
              <c16:uniqueId val="{00000002-0F48-CB4E-8B54-E085E10E9206}"/>
            </c:ext>
          </c:extLst>
        </c:ser>
        <c:dLbls>
          <c:showLegendKey val="0"/>
          <c:showVal val="0"/>
          <c:showCatName val="0"/>
          <c:showSerName val="0"/>
          <c:showPercent val="0"/>
          <c:showBubbleSize val="0"/>
        </c:dLbls>
        <c:axId val="508487440"/>
        <c:axId val="507953904"/>
      </c:areaChart>
      <c:dateAx>
        <c:axId val="50848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07953904"/>
        <c:crosses val="autoZero"/>
        <c:auto val="0"/>
        <c:lblOffset val="100"/>
        <c:baseTimeUnit val="days"/>
      </c:dateAx>
      <c:valAx>
        <c:axId val="5079539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0848744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[ECONOMIC EVALUATION.xlsx]Net Worth Dashboard!PivotTable3</c:name>
    <c:fmtId val="0"/>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delet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delete val="1"/>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delete val="1"/>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delete val="1"/>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delete val="1"/>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delete val="1"/>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delete val="1"/>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3"/>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24"/>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25"/>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delete val="1"/>
          <c:extLst>
            <c:ext xmlns:c15="http://schemas.microsoft.com/office/drawing/2012/chart" uri="{CE6537A1-D6FC-4f65-9D91-7224C49458BB}"/>
          </c:extLst>
        </c:dLbl>
      </c:pivotFmt>
      <c:pivotFmt>
        <c:idx val="26"/>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delete val="1"/>
          <c:extLst>
            <c:ext xmlns:c15="http://schemas.microsoft.com/office/drawing/2012/chart" uri="{CE6537A1-D6FC-4f65-9D91-7224C49458BB}"/>
          </c:extLst>
        </c:dLbl>
      </c:pivotFmt>
      <c:pivotFmt>
        <c:idx val="27"/>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delete val="1"/>
          <c:extLst>
            <c:ext xmlns:c15="http://schemas.microsoft.com/office/drawing/2012/chart" uri="{CE6537A1-D6FC-4f65-9D91-7224C49458BB}"/>
          </c:extLst>
        </c:dLbl>
      </c:pivotFmt>
      <c:pivotFmt>
        <c:idx val="28"/>
        <c:dLbl>
          <c:idx val="0"/>
          <c:delete val="1"/>
          <c:extLst>
            <c:ext xmlns:c15="http://schemas.microsoft.com/office/drawing/2012/chart" uri="{CE6537A1-D6FC-4f65-9D91-7224C49458BB}"/>
          </c:extLst>
        </c:dLbl>
      </c:pivotFmt>
      <c:pivotFmt>
        <c:idx val="29"/>
        <c:dLbl>
          <c:idx val="0"/>
          <c:delete val="1"/>
          <c:extLst>
            <c:ext xmlns:c15="http://schemas.microsoft.com/office/drawing/2012/chart" uri="{CE6537A1-D6FC-4f65-9D91-7224C49458BB}"/>
          </c:extLst>
        </c:dLbl>
      </c:pivotFmt>
      <c:pivotFmt>
        <c:idx val="30"/>
        <c:dLbl>
          <c:idx val="0"/>
          <c:delete val="1"/>
          <c:extLst>
            <c:ext xmlns:c15="http://schemas.microsoft.com/office/drawing/2012/chart" uri="{CE6537A1-D6FC-4f65-9D91-7224C49458BB}"/>
          </c:extLst>
        </c:dLbl>
      </c:pivotFmt>
      <c:pivotFmt>
        <c:idx val="31"/>
        <c:dLbl>
          <c:idx val="0"/>
          <c:delete val="1"/>
          <c:extLst>
            <c:ext xmlns:c15="http://schemas.microsoft.com/office/drawing/2012/chart" uri="{CE6537A1-D6FC-4f65-9D91-7224C49458BB}"/>
          </c:extLst>
        </c:dLbl>
      </c:pivotFmt>
    </c:pivotFmts>
    <c:plotArea>
      <c:layout/>
      <c:lineChart>
        <c:grouping val="standard"/>
        <c:varyColors val="0"/>
        <c:ser>
          <c:idx val="0"/>
          <c:order val="0"/>
          <c:tx>
            <c:strRef>
              <c:f>'Net Worth Dashboard'!$M$42:$M$43</c:f>
              <c:strCache>
                <c:ptCount val="1"/>
                <c:pt idx="0">
                  <c:v>Credit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'Net Worth Dashboard'!$L$44:$L$59</c:f>
              <c:strCache>
                <c:ptCount val="15"/>
                <c:pt idx="0">
                  <c:v>28/12/2024</c:v>
                </c:pt>
                <c:pt idx="1">
                  <c:v>30/12/2024</c:v>
                </c:pt>
                <c:pt idx="2">
                  <c:v>02/03/2025</c:v>
                </c:pt>
                <c:pt idx="3">
                  <c:v>02/04/2025</c:v>
                </c:pt>
                <c:pt idx="4">
                  <c:v>14/05/2025</c:v>
                </c:pt>
                <c:pt idx="5">
                  <c:v>31/05/2025</c:v>
                </c:pt>
                <c:pt idx="6">
                  <c:v>01/07/2025</c:v>
                </c:pt>
                <c:pt idx="7">
                  <c:v>03/08/2025</c:v>
                </c:pt>
                <c:pt idx="8">
                  <c:v>01/11/2025</c:v>
                </c:pt>
                <c:pt idx="9">
                  <c:v>09/12/2025</c:v>
                </c:pt>
                <c:pt idx="10">
                  <c:v>30/12/2025</c:v>
                </c:pt>
                <c:pt idx="11">
                  <c:v>10/02/2026</c:v>
                </c:pt>
                <c:pt idx="12">
                  <c:v>06/04/2026</c:v>
                </c:pt>
                <c:pt idx="13">
                  <c:v>15/05/2026</c:v>
                </c:pt>
                <c:pt idx="14">
                  <c:v>04/06/2026</c:v>
                </c:pt>
              </c:strCache>
            </c:strRef>
          </c:cat>
          <c:val>
            <c:numRef>
              <c:f>'Net Worth Dashboard'!$M$44:$M$59</c:f>
              <c:numCache>
                <c:formatCode>"£"#,##0.00</c:formatCode>
                <c:ptCount val="15"/>
                <c:pt idx="0">
                  <c:v>-675</c:v>
                </c:pt>
                <c:pt idx="1">
                  <c:v>-575</c:v>
                </c:pt>
                <c:pt idx="2">
                  <c:v>0</c:v>
                </c:pt>
                <c:pt idx="3">
                  <c:v>0</c:v>
                </c:pt>
                <c:pt idx="4">
                  <c:v>-408.77</c:v>
                </c:pt>
                <c:pt idx="5">
                  <c:v>0</c:v>
                </c:pt>
                <c:pt idx="6">
                  <c:v>339</c:v>
                </c:pt>
                <c:pt idx="7">
                  <c:v>0</c:v>
                </c:pt>
                <c:pt idx="8">
                  <c:v>0</c:v>
                </c:pt>
                <c:pt idx="9">
                  <c:v>110</c:v>
                </c:pt>
                <c:pt idx="10">
                  <c:v>0</c:v>
                </c:pt>
                <c:pt idx="11">
                  <c:v>0</c:v>
                </c:pt>
                <c:pt idx="12">
                  <c:v>0</c:v>
                </c:pt>
                <c:pt idx="13">
                  <c:v>0</c:v>
                </c:pt>
                <c:pt idx="14">
                  <c:v>0</c:v>
                </c:pt>
              </c:numCache>
            </c:numRef>
          </c:val>
          <c:smooth val="0"/>
          <c:extLst>
            <c:ext xmlns:c16="http://schemas.microsoft.com/office/drawing/2014/chart" uri="{C3380CC4-5D6E-409C-BE32-E72D297353CC}">
              <c16:uniqueId val="{00000008-94E4-8E4F-9A24-DCC0D2B52410}"/>
            </c:ext>
          </c:extLst>
        </c:ser>
        <c:ser>
          <c:idx val="1"/>
          <c:order val="1"/>
          <c:tx>
            <c:strRef>
              <c:f>'Net Worth Dashboard'!$N$42:$N$43</c:f>
              <c:strCache>
                <c:ptCount val="1"/>
                <c:pt idx="0">
                  <c:v>Crypto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'Net Worth Dashboard'!$L$44:$L$59</c:f>
              <c:strCache>
                <c:ptCount val="15"/>
                <c:pt idx="0">
                  <c:v>28/12/2024</c:v>
                </c:pt>
                <c:pt idx="1">
                  <c:v>30/12/2024</c:v>
                </c:pt>
                <c:pt idx="2">
                  <c:v>02/03/2025</c:v>
                </c:pt>
                <c:pt idx="3">
                  <c:v>02/04/2025</c:v>
                </c:pt>
                <c:pt idx="4">
                  <c:v>14/05/2025</c:v>
                </c:pt>
                <c:pt idx="5">
                  <c:v>31/05/2025</c:v>
                </c:pt>
                <c:pt idx="6">
                  <c:v>01/07/2025</c:v>
                </c:pt>
                <c:pt idx="7">
                  <c:v>03/08/2025</c:v>
                </c:pt>
                <c:pt idx="8">
                  <c:v>01/11/2025</c:v>
                </c:pt>
                <c:pt idx="9">
                  <c:v>09/12/2025</c:v>
                </c:pt>
                <c:pt idx="10">
                  <c:v>30/12/2025</c:v>
                </c:pt>
                <c:pt idx="11">
                  <c:v>10/02/2026</c:v>
                </c:pt>
                <c:pt idx="12">
                  <c:v>06/04/2026</c:v>
                </c:pt>
                <c:pt idx="13">
                  <c:v>15/05/2026</c:v>
                </c:pt>
                <c:pt idx="14">
                  <c:v>04/06/2026</c:v>
                </c:pt>
              </c:strCache>
            </c:strRef>
          </c:cat>
          <c:val>
            <c:numRef>
              <c:f>'Net Worth Dashboard'!$N$44:$N$59</c:f>
              <c:numCache>
                <c:formatCode>"£"#,##0.00</c:formatCode>
                <c:ptCount val="15"/>
                <c:pt idx="0">
                  <c:v>2568</c:v>
                </c:pt>
                <c:pt idx="1">
                  <c:v>2668</c:v>
                </c:pt>
                <c:pt idx="2">
                  <c:v>2105</c:v>
                </c:pt>
                <c:pt idx="3">
                  <c:v>2271.64</c:v>
                </c:pt>
                <c:pt idx="4">
                  <c:v>2152</c:v>
                </c:pt>
                <c:pt idx="5">
                  <c:v>2000</c:v>
                </c:pt>
                <c:pt idx="6">
                  <c:v>1890</c:v>
                </c:pt>
                <c:pt idx="7">
                  <c:v>2250</c:v>
                </c:pt>
                <c:pt idx="8">
                  <c:v>2225.0100000000002</c:v>
                </c:pt>
                <c:pt idx="9">
                  <c:v>1741</c:v>
                </c:pt>
                <c:pt idx="10">
                  <c:v>1700</c:v>
                </c:pt>
                <c:pt idx="11">
                  <c:v>1500</c:v>
                </c:pt>
                <c:pt idx="12">
                  <c:v>1267</c:v>
                </c:pt>
                <c:pt idx="13">
                  <c:v>1500</c:v>
                </c:pt>
                <c:pt idx="14">
                  <c:v>1200</c:v>
                </c:pt>
              </c:numCache>
            </c:numRef>
          </c:val>
          <c:smooth val="0"/>
          <c:extLst>
            <c:ext xmlns:c16="http://schemas.microsoft.com/office/drawing/2014/chart" uri="{C3380CC4-5D6E-409C-BE32-E72D297353CC}">
              <c16:uniqueId val="{00000007-10DB-764C-9557-513E817F50E4}"/>
            </c:ext>
          </c:extLst>
        </c:ser>
        <c:ser>
          <c:idx val="2"/>
          <c:order val="2"/>
          <c:tx>
            <c:strRef>
              <c:f>'Net Worth Dashboard'!$O$42:$O$43</c:f>
              <c:strCache>
                <c:ptCount val="1"/>
                <c:pt idx="0">
                  <c:v>Debit (Revolut)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'Net Worth Dashboard'!$L$44:$L$59</c:f>
              <c:strCache>
                <c:ptCount val="15"/>
                <c:pt idx="0">
                  <c:v>28/12/2024</c:v>
                </c:pt>
                <c:pt idx="1">
                  <c:v>30/12/2024</c:v>
                </c:pt>
                <c:pt idx="2">
                  <c:v>02/03/2025</c:v>
                </c:pt>
                <c:pt idx="3">
                  <c:v>02/04/2025</c:v>
                </c:pt>
                <c:pt idx="4">
                  <c:v>14/05/2025</c:v>
                </c:pt>
                <c:pt idx="5">
                  <c:v>31/05/2025</c:v>
                </c:pt>
                <c:pt idx="6">
                  <c:v>01/07/2025</c:v>
                </c:pt>
                <c:pt idx="7">
                  <c:v>03/08/2025</c:v>
                </c:pt>
                <c:pt idx="8">
                  <c:v>01/11/2025</c:v>
                </c:pt>
                <c:pt idx="9">
                  <c:v>09/12/2025</c:v>
                </c:pt>
                <c:pt idx="10">
                  <c:v>30/12/2025</c:v>
                </c:pt>
                <c:pt idx="11">
                  <c:v>10/02/2026</c:v>
                </c:pt>
                <c:pt idx="12">
                  <c:v>06/04/2026</c:v>
                </c:pt>
                <c:pt idx="13">
                  <c:v>15/05/2026</c:v>
                </c:pt>
                <c:pt idx="14">
                  <c:v>04/06/2026</c:v>
                </c:pt>
              </c:strCache>
            </c:strRef>
          </c:cat>
          <c:val>
            <c:numRef>
              <c:f>'Net Worth Dashboard'!$O$44:$O$59</c:f>
              <c:numCache>
                <c:formatCode>"£"#,##0.00</c:formatCode>
                <c:ptCount val="15"/>
                <c:pt idx="0">
                  <c:v>167</c:v>
                </c:pt>
                <c:pt idx="1">
                  <c:v>267</c:v>
                </c:pt>
                <c:pt idx="2">
                  <c:v>20</c:v>
                </c:pt>
                <c:pt idx="3">
                  <c:v>7</c:v>
                </c:pt>
                <c:pt idx="4">
                  <c:v>1.92</c:v>
                </c:pt>
                <c:pt idx="5">
                  <c:v>45</c:v>
                </c:pt>
                <c:pt idx="6">
                  <c:v>50</c:v>
                </c:pt>
                <c:pt idx="7">
                  <c:v>50</c:v>
                </c:pt>
                <c:pt idx="8">
                  <c:v>120</c:v>
                </c:pt>
                <c:pt idx="9">
                  <c:v>169</c:v>
                </c:pt>
                <c:pt idx="10">
                  <c:v>194</c:v>
                </c:pt>
                <c:pt idx="11">
                  <c:v>230</c:v>
                </c:pt>
                <c:pt idx="12">
                  <c:v>230</c:v>
                </c:pt>
                <c:pt idx="13">
                  <c:v>230</c:v>
                </c:pt>
                <c:pt idx="14">
                  <c:v>216</c:v>
                </c:pt>
              </c:numCache>
            </c:numRef>
          </c:val>
          <c:smooth val="0"/>
          <c:extLst>
            <c:ext xmlns:c16="http://schemas.microsoft.com/office/drawing/2014/chart" uri="{C3380CC4-5D6E-409C-BE32-E72D297353CC}">
              <c16:uniqueId val="{00000008-10DB-764C-9557-513E817F50E4}"/>
            </c:ext>
          </c:extLst>
        </c:ser>
        <c:ser>
          <c:idx val="3"/>
          <c:order val="3"/>
          <c:tx>
            <c:strRef>
              <c:f>'Net Worth Dashboard'!$P$42:$P$43</c:f>
              <c:strCache>
                <c:ptCount val="1"/>
                <c:pt idx="0">
                  <c:v>Monzo (Savings)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'Net Worth Dashboard'!$L$44:$L$59</c:f>
              <c:strCache>
                <c:ptCount val="15"/>
                <c:pt idx="0">
                  <c:v>28/12/2024</c:v>
                </c:pt>
                <c:pt idx="1">
                  <c:v>30/12/2024</c:v>
                </c:pt>
                <c:pt idx="2">
                  <c:v>02/03/2025</c:v>
                </c:pt>
                <c:pt idx="3">
                  <c:v>02/04/2025</c:v>
                </c:pt>
                <c:pt idx="4">
                  <c:v>14/05/2025</c:v>
                </c:pt>
                <c:pt idx="5">
                  <c:v>31/05/2025</c:v>
                </c:pt>
                <c:pt idx="6">
                  <c:v>01/07/2025</c:v>
                </c:pt>
                <c:pt idx="7">
                  <c:v>03/08/2025</c:v>
                </c:pt>
                <c:pt idx="8">
                  <c:v>01/11/2025</c:v>
                </c:pt>
                <c:pt idx="9">
                  <c:v>09/12/2025</c:v>
                </c:pt>
                <c:pt idx="10">
                  <c:v>30/12/2025</c:v>
                </c:pt>
                <c:pt idx="11">
                  <c:v>10/02/2026</c:v>
                </c:pt>
                <c:pt idx="12">
                  <c:v>06/04/2026</c:v>
                </c:pt>
                <c:pt idx="13">
                  <c:v>15/05/2026</c:v>
                </c:pt>
                <c:pt idx="14">
                  <c:v>04/06/2026</c:v>
                </c:pt>
              </c:strCache>
            </c:strRef>
          </c:cat>
          <c:val>
            <c:numRef>
              <c:f>'Net Worth Dashboard'!$P$44:$P$59</c:f>
              <c:numCache>
                <c:formatCode>"£"#,##0.00</c:formatCode>
                <c:ptCount val="15"/>
                <c:pt idx="0">
                  <c:v>2204</c:v>
                </c:pt>
                <c:pt idx="1">
                  <c:v>2304</c:v>
                </c:pt>
                <c:pt idx="2">
                  <c:v>426</c:v>
                </c:pt>
                <c:pt idx="3">
                  <c:v>4832.2299999999996</c:v>
                </c:pt>
                <c:pt idx="4">
                  <c:v>635</c:v>
                </c:pt>
                <c:pt idx="5">
                  <c:v>1135</c:v>
                </c:pt>
                <c:pt idx="6">
                  <c:v>1742</c:v>
                </c:pt>
                <c:pt idx="7">
                  <c:v>2798</c:v>
                </c:pt>
                <c:pt idx="8">
                  <c:v>4205</c:v>
                </c:pt>
                <c:pt idx="9">
                  <c:v>4024</c:v>
                </c:pt>
                <c:pt idx="10">
                  <c:v>4824</c:v>
                </c:pt>
                <c:pt idx="11">
                  <c:v>3607</c:v>
                </c:pt>
                <c:pt idx="12">
                  <c:v>596.6</c:v>
                </c:pt>
                <c:pt idx="13">
                  <c:v>597</c:v>
                </c:pt>
                <c:pt idx="14">
                  <c:v>1400</c:v>
                </c:pt>
              </c:numCache>
            </c:numRef>
          </c:val>
          <c:smooth val="0"/>
          <c:extLst>
            <c:ext xmlns:c16="http://schemas.microsoft.com/office/drawing/2014/chart" uri="{C3380CC4-5D6E-409C-BE32-E72D297353CC}">
              <c16:uniqueId val="{00000009-10DB-764C-9557-513E817F50E4}"/>
            </c:ext>
          </c:extLst>
        </c:ser>
        <c:ser>
          <c:idx val="4"/>
          <c:order val="4"/>
          <c:tx>
            <c:strRef>
              <c:f>'Net Worth Dashboard'!$Q$42:$Q$43</c:f>
              <c:strCache>
                <c:ptCount val="1"/>
                <c:pt idx="0">
                  <c:v>Monzo (Spend)</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'Net Worth Dashboard'!$L$44:$L$59</c:f>
              <c:strCache>
                <c:ptCount val="15"/>
                <c:pt idx="0">
                  <c:v>28/12/2024</c:v>
                </c:pt>
                <c:pt idx="1">
                  <c:v>30/12/2024</c:v>
                </c:pt>
                <c:pt idx="2">
                  <c:v>02/03/2025</c:v>
                </c:pt>
                <c:pt idx="3">
                  <c:v>02/04/2025</c:v>
                </c:pt>
                <c:pt idx="4">
                  <c:v>14/05/2025</c:v>
                </c:pt>
                <c:pt idx="5">
                  <c:v>31/05/2025</c:v>
                </c:pt>
                <c:pt idx="6">
                  <c:v>01/07/2025</c:v>
                </c:pt>
                <c:pt idx="7">
                  <c:v>03/08/2025</c:v>
                </c:pt>
                <c:pt idx="8">
                  <c:v>01/11/2025</c:v>
                </c:pt>
                <c:pt idx="9">
                  <c:v>09/12/2025</c:v>
                </c:pt>
                <c:pt idx="10">
                  <c:v>30/12/2025</c:v>
                </c:pt>
                <c:pt idx="11">
                  <c:v>10/02/2026</c:v>
                </c:pt>
                <c:pt idx="12">
                  <c:v>06/04/2026</c:v>
                </c:pt>
                <c:pt idx="13">
                  <c:v>15/05/2026</c:v>
                </c:pt>
                <c:pt idx="14">
                  <c:v>04/06/2026</c:v>
                </c:pt>
              </c:strCache>
            </c:strRef>
          </c:cat>
          <c:val>
            <c:numRef>
              <c:f>'Net Worth Dashboard'!$Q$44:$Q$59</c:f>
              <c:numCache>
                <c:formatCode>"£"#,##0.00</c:formatCode>
                <c:ptCount val="15"/>
                <c:pt idx="0">
                  <c:v>3076</c:v>
                </c:pt>
                <c:pt idx="1">
                  <c:v>3176</c:v>
                </c:pt>
                <c:pt idx="2">
                  <c:v>1472</c:v>
                </c:pt>
                <c:pt idx="3">
                  <c:v>1897.69</c:v>
                </c:pt>
                <c:pt idx="4">
                  <c:v>1147.8800000000001</c:v>
                </c:pt>
                <c:pt idx="5">
                  <c:v>1500</c:v>
                </c:pt>
                <c:pt idx="6">
                  <c:v>1193</c:v>
                </c:pt>
                <c:pt idx="7">
                  <c:v>983</c:v>
                </c:pt>
                <c:pt idx="8">
                  <c:v>969</c:v>
                </c:pt>
                <c:pt idx="9">
                  <c:v>1070</c:v>
                </c:pt>
                <c:pt idx="10">
                  <c:v>1720</c:v>
                </c:pt>
                <c:pt idx="11">
                  <c:v>451</c:v>
                </c:pt>
                <c:pt idx="12">
                  <c:v>978.18</c:v>
                </c:pt>
                <c:pt idx="13">
                  <c:v>1045</c:v>
                </c:pt>
                <c:pt idx="14">
                  <c:v>621</c:v>
                </c:pt>
              </c:numCache>
            </c:numRef>
          </c:val>
          <c:smooth val="0"/>
          <c:extLst>
            <c:ext xmlns:c16="http://schemas.microsoft.com/office/drawing/2014/chart" uri="{C3380CC4-5D6E-409C-BE32-E72D297353CC}">
              <c16:uniqueId val="{0000000A-10DB-764C-9557-513E817F50E4}"/>
            </c:ext>
          </c:extLst>
        </c:ser>
        <c:ser>
          <c:idx val="5"/>
          <c:order val="5"/>
          <c:tx>
            <c:strRef>
              <c:f>'Net Worth Dashboard'!$R$42:$R$43</c:f>
              <c:strCache>
                <c:ptCount val="1"/>
                <c:pt idx="0">
                  <c:v>Moneybox (LISA)</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'Net Worth Dashboard'!$L$44:$L$59</c:f>
              <c:strCache>
                <c:ptCount val="15"/>
                <c:pt idx="0">
                  <c:v>28/12/2024</c:v>
                </c:pt>
                <c:pt idx="1">
                  <c:v>30/12/2024</c:v>
                </c:pt>
                <c:pt idx="2">
                  <c:v>02/03/2025</c:v>
                </c:pt>
                <c:pt idx="3">
                  <c:v>02/04/2025</c:v>
                </c:pt>
                <c:pt idx="4">
                  <c:v>14/05/2025</c:v>
                </c:pt>
                <c:pt idx="5">
                  <c:v>31/05/2025</c:v>
                </c:pt>
                <c:pt idx="6">
                  <c:v>01/07/2025</c:v>
                </c:pt>
                <c:pt idx="7">
                  <c:v>03/08/2025</c:v>
                </c:pt>
                <c:pt idx="8">
                  <c:v>01/11/2025</c:v>
                </c:pt>
                <c:pt idx="9">
                  <c:v>09/12/2025</c:v>
                </c:pt>
                <c:pt idx="10">
                  <c:v>30/12/2025</c:v>
                </c:pt>
                <c:pt idx="11">
                  <c:v>10/02/2026</c:v>
                </c:pt>
                <c:pt idx="12">
                  <c:v>06/04/2026</c:v>
                </c:pt>
                <c:pt idx="13">
                  <c:v>15/05/2026</c:v>
                </c:pt>
                <c:pt idx="14">
                  <c:v>04/06/2026</c:v>
                </c:pt>
              </c:strCache>
            </c:strRef>
          </c:cat>
          <c:val>
            <c:numRef>
              <c:f>'Net Worth Dashboard'!$R$44:$R$59</c:f>
              <c:numCache>
                <c:formatCode>"£"#,##0.00</c:formatCode>
                <c:ptCount val="15"/>
                <c:pt idx="0">
                  <c:v>9943</c:v>
                </c:pt>
                <c:pt idx="1">
                  <c:v>10043</c:v>
                </c:pt>
                <c:pt idx="2">
                  <c:v>13883</c:v>
                </c:pt>
                <c:pt idx="3">
                  <c:v>14924.24</c:v>
                </c:pt>
                <c:pt idx="4">
                  <c:v>15234</c:v>
                </c:pt>
                <c:pt idx="5">
                  <c:v>15259</c:v>
                </c:pt>
                <c:pt idx="6">
                  <c:v>15301</c:v>
                </c:pt>
                <c:pt idx="7">
                  <c:v>15346</c:v>
                </c:pt>
                <c:pt idx="8">
                  <c:v>15462</c:v>
                </c:pt>
                <c:pt idx="9">
                  <c:v>15511</c:v>
                </c:pt>
                <c:pt idx="10">
                  <c:v>15538</c:v>
                </c:pt>
                <c:pt idx="11">
                  <c:v>15733</c:v>
                </c:pt>
                <c:pt idx="12">
                  <c:v>15800</c:v>
                </c:pt>
                <c:pt idx="13">
                  <c:v>15850</c:v>
                </c:pt>
                <c:pt idx="14">
                  <c:v>15892</c:v>
                </c:pt>
              </c:numCache>
            </c:numRef>
          </c:val>
          <c:smooth val="0"/>
          <c:extLst>
            <c:ext xmlns:c16="http://schemas.microsoft.com/office/drawing/2014/chart" uri="{C3380CC4-5D6E-409C-BE32-E72D297353CC}">
              <c16:uniqueId val="{0000000B-10DB-764C-9557-513E817F50E4}"/>
            </c:ext>
          </c:extLst>
        </c:ser>
        <c:ser>
          <c:idx val="6"/>
          <c:order val="6"/>
          <c:tx>
            <c:strRef>
              <c:f>'Net Worth Dashboard'!$S$42:$S$43</c:f>
              <c:strCache>
                <c:ptCount val="1"/>
                <c:pt idx="0">
                  <c:v>S&amp;S ISA</c:v>
                </c:pt>
              </c:strCache>
            </c:strRef>
          </c:tx>
          <c:cat>
            <c:strRef>
              <c:f>'Net Worth Dashboard'!$L$44:$L$59</c:f>
              <c:strCache>
                <c:ptCount val="15"/>
                <c:pt idx="0">
                  <c:v>28/12/2024</c:v>
                </c:pt>
                <c:pt idx="1">
                  <c:v>30/12/2024</c:v>
                </c:pt>
                <c:pt idx="2">
                  <c:v>02/03/2025</c:v>
                </c:pt>
                <c:pt idx="3">
                  <c:v>02/04/2025</c:v>
                </c:pt>
                <c:pt idx="4">
                  <c:v>14/05/2025</c:v>
                </c:pt>
                <c:pt idx="5">
                  <c:v>31/05/2025</c:v>
                </c:pt>
                <c:pt idx="6">
                  <c:v>01/07/2025</c:v>
                </c:pt>
                <c:pt idx="7">
                  <c:v>03/08/2025</c:v>
                </c:pt>
                <c:pt idx="8">
                  <c:v>01/11/2025</c:v>
                </c:pt>
                <c:pt idx="9">
                  <c:v>09/12/2025</c:v>
                </c:pt>
                <c:pt idx="10">
                  <c:v>30/12/2025</c:v>
                </c:pt>
                <c:pt idx="11">
                  <c:v>10/02/2026</c:v>
                </c:pt>
                <c:pt idx="12">
                  <c:v>06/04/2026</c:v>
                </c:pt>
                <c:pt idx="13">
                  <c:v>15/05/2026</c:v>
                </c:pt>
                <c:pt idx="14">
                  <c:v>04/06/2026</c:v>
                </c:pt>
              </c:strCache>
            </c:strRef>
          </c:cat>
          <c:val>
            <c:numRef>
              <c:f>'Net Worth Dashboard'!$S$44:$S$59</c:f>
              <c:numCache>
                <c:formatCode>"£"#,##0.00</c:formatCode>
                <c:ptCount val="15"/>
                <c:pt idx="0">
                  <c:v>5229</c:v>
                </c:pt>
                <c:pt idx="1">
                  <c:v>5329</c:v>
                </c:pt>
                <c:pt idx="2">
                  <c:v>5331.77</c:v>
                </c:pt>
                <c:pt idx="3">
                  <c:v>0</c:v>
                </c:pt>
                <c:pt idx="4">
                  <c:v>4274.6000000000004</c:v>
                </c:pt>
                <c:pt idx="5">
                  <c:v>4254</c:v>
                </c:pt>
                <c:pt idx="6">
                  <c:v>4370</c:v>
                </c:pt>
                <c:pt idx="7">
                  <c:v>4525</c:v>
                </c:pt>
                <c:pt idx="8">
                  <c:v>5022</c:v>
                </c:pt>
                <c:pt idx="9">
                  <c:v>4976.05</c:v>
                </c:pt>
                <c:pt idx="10">
                  <c:v>4972</c:v>
                </c:pt>
                <c:pt idx="11">
                  <c:v>5087</c:v>
                </c:pt>
                <c:pt idx="12">
                  <c:v>4961</c:v>
                </c:pt>
                <c:pt idx="13">
                  <c:v>5482</c:v>
                </c:pt>
                <c:pt idx="14">
                  <c:v>5574</c:v>
                </c:pt>
              </c:numCache>
            </c:numRef>
          </c:val>
          <c:smooth val="0"/>
          <c:extLst>
            <c:ext xmlns:c16="http://schemas.microsoft.com/office/drawing/2014/chart" uri="{C3380CC4-5D6E-409C-BE32-E72D297353CC}">
              <c16:uniqueId val="{0000000C-10DB-764C-9557-513E817F50E4}"/>
            </c:ext>
          </c:extLst>
        </c:ser>
        <c:ser>
          <c:idx val="7"/>
          <c:order val="7"/>
          <c:tx>
            <c:strRef>
              <c:f>'Net Worth Dashboard'!$T$42:$T$43</c:f>
              <c:strCache>
                <c:ptCount val="1"/>
                <c:pt idx="0">
                  <c:v>Chase</c:v>
                </c:pt>
              </c:strCache>
            </c:strRef>
          </c:tx>
          <c:cat>
            <c:strRef>
              <c:f>'Net Worth Dashboard'!$L$44:$L$59</c:f>
              <c:strCache>
                <c:ptCount val="15"/>
                <c:pt idx="0">
                  <c:v>28/12/2024</c:v>
                </c:pt>
                <c:pt idx="1">
                  <c:v>30/12/2024</c:v>
                </c:pt>
                <c:pt idx="2">
                  <c:v>02/03/2025</c:v>
                </c:pt>
                <c:pt idx="3">
                  <c:v>02/04/2025</c:v>
                </c:pt>
                <c:pt idx="4">
                  <c:v>14/05/2025</c:v>
                </c:pt>
                <c:pt idx="5">
                  <c:v>31/05/2025</c:v>
                </c:pt>
                <c:pt idx="6">
                  <c:v>01/07/2025</c:v>
                </c:pt>
                <c:pt idx="7">
                  <c:v>03/08/2025</c:v>
                </c:pt>
                <c:pt idx="8">
                  <c:v>01/11/2025</c:v>
                </c:pt>
                <c:pt idx="9">
                  <c:v>09/12/2025</c:v>
                </c:pt>
                <c:pt idx="10">
                  <c:v>30/12/2025</c:v>
                </c:pt>
                <c:pt idx="11">
                  <c:v>10/02/2026</c:v>
                </c:pt>
                <c:pt idx="12">
                  <c:v>06/04/2026</c:v>
                </c:pt>
                <c:pt idx="13">
                  <c:v>15/05/2026</c:v>
                </c:pt>
                <c:pt idx="14">
                  <c:v>04/06/2026</c:v>
                </c:pt>
              </c:strCache>
            </c:strRef>
          </c:cat>
          <c:val>
            <c:numRef>
              <c:f>'Net Worth Dashboard'!$T$44:$T$59</c:f>
              <c:numCache>
                <c:formatCode>"£"#,##0.00</c:formatCode>
                <c:ptCount val="15"/>
                <c:pt idx="12">
                  <c:v>2055.4499999999998</c:v>
                </c:pt>
                <c:pt idx="13">
                  <c:v>2062</c:v>
                </c:pt>
                <c:pt idx="14">
                  <c:v>17190</c:v>
                </c:pt>
              </c:numCache>
            </c:numRef>
          </c:val>
          <c:smooth val="0"/>
          <c:extLst>
            <c:ext xmlns:c16="http://schemas.microsoft.com/office/drawing/2014/chart" uri="{C3380CC4-5D6E-409C-BE32-E72D297353CC}">
              <c16:uniqueId val="{00000002-39D5-4847-80A7-EA1D14B5EF0F}"/>
            </c:ext>
          </c:extLst>
        </c:ser>
        <c:dLbls>
          <c:showLegendKey val="0"/>
          <c:showVal val="0"/>
          <c:showCatName val="0"/>
          <c:showSerName val="0"/>
          <c:showPercent val="0"/>
          <c:showBubbleSize val="0"/>
        </c:dLbls>
        <c:marker val="1"/>
        <c:smooth val="0"/>
        <c:axId val="514712272"/>
        <c:axId val="423609312"/>
      </c:lineChart>
      <c:catAx>
        <c:axId val="51471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609312"/>
        <c:crosses val="autoZero"/>
        <c:auto val="1"/>
        <c:lblAlgn val="ctr"/>
        <c:lblOffset val="100"/>
        <c:noMultiLvlLbl val="0"/>
      </c:catAx>
      <c:valAx>
        <c:axId val="4236093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71227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[ECONOMIC EVALUATION.xlsx]Net Worth Input!PivotTable1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Wealth</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6.0869565217391307E-2"/>
              <c:y val="-8.2236842105263164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6.0869565217391307E-2"/>
              <c:y val="-8.2236842105263164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4.3548384054913486E-2"/>
              <c:y val="-4.6406240293970433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0"/>
          <c:tx>
            <c:strRef>
              <c:f>'Net Worth Input'!$B$123</c:f>
              <c:strCache>
                <c:ptCount val="1"/>
                <c:pt idx="0">
                  <c:v>Total</c:v>
                </c:pt>
              </c:strCache>
            </c:strRef>
          </c:tx>
          <c:marker>
            <c:symbol val="none"/>
          </c:marker>
          <c:dLbls>
            <c:dLbl>
              <c:idx val="1"/>
              <c:layout>
                <c:manualLayout>
                  <c:x val="-6.0869565217391307E-2"/>
                  <c:y val="-8.22368421052631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AF0-9245-9091-E4616D367360}"/>
                </c:ext>
              </c:extLst>
            </c:dLbl>
            <c:dLbl>
              <c:idx val="8"/>
              <c:layout>
                <c:manualLayout>
                  <c:x val="-4.3548384054913486E-2"/>
                  <c:y val="-4.64062402939704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32A-9741-A0F8-B0637D2ACF62}"/>
                </c:ext>
              </c:extLst>
            </c:dLbl>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'Net Worth Input'!$A$124:$A$138</c:f>
              <c:strCache>
                <c:ptCount val="15"/>
                <c:pt idx="0">
                  <c:v>28/12/2024</c:v>
                </c:pt>
                <c:pt idx="1">
                  <c:v>30/12/2024</c:v>
                </c:pt>
                <c:pt idx="2">
                  <c:v>02/03/2025</c:v>
                </c:pt>
                <c:pt idx="3">
                  <c:v>02/04/2025</c:v>
                </c:pt>
                <c:pt idx="4">
                  <c:v>14/05/2025</c:v>
                </c:pt>
                <c:pt idx="5">
                  <c:v>31/05/2025</c:v>
                </c:pt>
                <c:pt idx="6">
                  <c:v>01/07/2025</c:v>
                </c:pt>
                <c:pt idx="7">
                  <c:v>03/08/2025</c:v>
                </c:pt>
                <c:pt idx="8">
                  <c:v>01/11/2025</c:v>
                </c:pt>
                <c:pt idx="9">
                  <c:v>09/12/2025</c:v>
                </c:pt>
                <c:pt idx="10">
                  <c:v>30/12/2025</c:v>
                </c:pt>
                <c:pt idx="11">
                  <c:v>10/02/2026</c:v>
                </c:pt>
                <c:pt idx="12">
                  <c:v>06/04/2026</c:v>
                </c:pt>
                <c:pt idx="13">
                  <c:v>15/05/2026</c:v>
                </c:pt>
                <c:pt idx="14">
                  <c:v>04/06/2026</c:v>
                </c:pt>
              </c:strCache>
            </c:strRef>
          </c:cat>
          <c:val>
            <c:numRef>
              <c:f>'Net Worth Input'!$B$124:$B$138</c:f>
              <c:numCache>
                <c:formatCode>"£"#,##0.00</c:formatCode>
                <c:ptCount val="15"/>
                <c:pt idx="0">
                  <c:v>22512</c:v>
                </c:pt>
                <c:pt idx="1">
                  <c:v>23212</c:v>
                </c:pt>
                <c:pt idx="2">
                  <c:v>23237.77</c:v>
                </c:pt>
                <c:pt idx="3">
                  <c:v>23932.799999999999</c:v>
                </c:pt>
                <c:pt idx="4">
                  <c:v>23036.629999999997</c:v>
                </c:pt>
                <c:pt idx="5">
                  <c:v>24193</c:v>
                </c:pt>
                <c:pt idx="6">
                  <c:v>24885</c:v>
                </c:pt>
                <c:pt idx="7">
                  <c:v>25952</c:v>
                </c:pt>
                <c:pt idx="8">
                  <c:v>28003.010000000002</c:v>
                </c:pt>
                <c:pt idx="9">
                  <c:v>27601.05</c:v>
                </c:pt>
                <c:pt idx="10">
                  <c:v>28948</c:v>
                </c:pt>
                <c:pt idx="11">
                  <c:v>26608</c:v>
                </c:pt>
                <c:pt idx="12">
                  <c:v>25888.23</c:v>
                </c:pt>
                <c:pt idx="13">
                  <c:v>26766</c:v>
                </c:pt>
                <c:pt idx="14">
                  <c:v>42093</c:v>
                </c:pt>
              </c:numCache>
            </c:numRef>
          </c:val>
          <c:smooth val="0"/>
          <c:extLst>
            <c:ext xmlns:c16="http://schemas.microsoft.com/office/drawing/2014/chart" uri="{C3380CC4-5D6E-409C-BE32-E72D297353CC}">
              <c16:uniqueId val="{00000005-1AF0-9245-9091-E4616D367360}"/>
            </c:ext>
          </c:extLst>
        </c:ser>
        <c:dLbls>
          <c:showLegendKey val="0"/>
          <c:showVal val="0"/>
          <c:showCatName val="0"/>
          <c:showSerName val="0"/>
          <c:showPercent val="0"/>
          <c:showBubbleSize val="0"/>
        </c:dLbls>
        <c:smooth val="0"/>
        <c:axId val="430992656"/>
        <c:axId val="466692240"/>
      </c:lineChart>
      <c:catAx>
        <c:axId val="430992656"/>
        <c:scaling>
          <c:orientation val="minMax"/>
        </c:scaling>
        <c:delete val="0"/>
        <c:axPos val="b"/>
        <c:majorGridlines>
          <c:spPr>
            <a:ln>
              <a:noFill/>
            </a:ln>
          </c:spPr>
        </c:majorGridlines>
        <c:minorGridlines/>
        <c:numFmt formatCode="d/m/yy;@" sourceLinked="0"/>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692240"/>
        <c:crosses val="autoZero"/>
        <c:auto val="0"/>
        <c:lblAlgn val="ctr"/>
        <c:lblOffset val="100"/>
        <c:tickMarkSkip val="2"/>
        <c:noMultiLvlLbl val="1"/>
      </c:catAx>
      <c:valAx>
        <c:axId val="466692240"/>
        <c:scaling>
          <c:orientation val="minMax"/>
          <c:min val="20000"/>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992656"/>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GB"/>
              <a:t>Income vs Expense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areaChart>
        <c:grouping val="stacked"/>
        <c:varyColors val="0"/>
        <c:ser>
          <c:idx val="0"/>
          <c:order val="1"/>
          <c:tx>
            <c:strRef>
              <c:f>Calcs!$B$8</c:f>
              <c:strCache>
                <c:ptCount val="1"/>
                <c:pt idx="0">
                  <c:v>Monthly Expenditure</c:v>
                </c:pt>
              </c:strCache>
            </c:strRef>
          </c:tx>
          <c:spPr>
            <a:solidFill>
              <a:srgbClr val="FFC000"/>
            </a:solidFill>
            <a:ln>
              <a:noFill/>
            </a:ln>
            <a:effectLst/>
          </c:spPr>
          <c:cat>
            <c:numRef>
              <c:f>Calcs!$A$9:$A$28</c:f>
              <c:numCache>
                <c:formatCode>mmm\-yy</c:formatCode>
                <c:ptCount val="20"/>
                <c:pt idx="0">
                  <c:v>45778</c:v>
                </c:pt>
                <c:pt idx="1">
                  <c:v>45809</c:v>
                </c:pt>
                <c:pt idx="2">
                  <c:v>45839</c:v>
                </c:pt>
                <c:pt idx="3">
                  <c:v>45870</c:v>
                </c:pt>
                <c:pt idx="4">
                  <c:v>45901</c:v>
                </c:pt>
                <c:pt idx="5">
                  <c:v>45931</c:v>
                </c:pt>
                <c:pt idx="6">
                  <c:v>45962</c:v>
                </c:pt>
                <c:pt idx="7">
                  <c:v>45992</c:v>
                </c:pt>
                <c:pt idx="8">
                  <c:v>46023</c:v>
                </c:pt>
                <c:pt idx="9">
                  <c:v>46054</c:v>
                </c:pt>
                <c:pt idx="10">
                  <c:v>46082</c:v>
                </c:pt>
                <c:pt idx="11">
                  <c:v>46113</c:v>
                </c:pt>
                <c:pt idx="12">
                  <c:v>46143</c:v>
                </c:pt>
                <c:pt idx="13">
                  <c:v>46174</c:v>
                </c:pt>
                <c:pt idx="14">
                  <c:v>46204</c:v>
                </c:pt>
                <c:pt idx="15">
                  <c:v>46235</c:v>
                </c:pt>
                <c:pt idx="16">
                  <c:v>46266</c:v>
                </c:pt>
                <c:pt idx="17">
                  <c:v>46296</c:v>
                </c:pt>
                <c:pt idx="18">
                  <c:v>46327</c:v>
                </c:pt>
                <c:pt idx="19">
                  <c:v>46357</c:v>
                </c:pt>
              </c:numCache>
            </c:numRef>
          </c:cat>
          <c:val>
            <c:numRef>
              <c:f>Calcs!$B$9:$B$28</c:f>
              <c:numCache>
                <c:formatCode>General</c:formatCode>
                <c:ptCount val="20"/>
                <c:pt idx="0">
                  <c:v>1060</c:v>
                </c:pt>
                <c:pt idx="1">
                  <c:v>1060</c:v>
                </c:pt>
                <c:pt idx="2">
                  <c:v>1060</c:v>
                </c:pt>
                <c:pt idx="3">
                  <c:v>1060</c:v>
                </c:pt>
                <c:pt idx="4">
                  <c:v>1060</c:v>
                </c:pt>
                <c:pt idx="5">
                  <c:v>1249</c:v>
                </c:pt>
                <c:pt idx="6">
                  <c:v>1249</c:v>
                </c:pt>
                <c:pt idx="7">
                  <c:v>1249</c:v>
                </c:pt>
                <c:pt idx="8">
                  <c:v>1249</c:v>
                </c:pt>
                <c:pt idx="9">
                  <c:v>1249</c:v>
                </c:pt>
                <c:pt idx="10">
                  <c:v>1249</c:v>
                </c:pt>
                <c:pt idx="11">
                  <c:v>1249</c:v>
                </c:pt>
                <c:pt idx="12">
                  <c:v>1249</c:v>
                </c:pt>
                <c:pt idx="13">
                  <c:v>1249</c:v>
                </c:pt>
                <c:pt idx="14">
                  <c:v>1249</c:v>
                </c:pt>
                <c:pt idx="15">
                  <c:v>1249</c:v>
                </c:pt>
                <c:pt idx="16">
                  <c:v>1249</c:v>
                </c:pt>
                <c:pt idx="17">
                  <c:v>1249</c:v>
                </c:pt>
                <c:pt idx="18">
                  <c:v>1249</c:v>
                </c:pt>
                <c:pt idx="19">
                  <c:v>1249</c:v>
                </c:pt>
              </c:numCache>
            </c:numRef>
          </c:val>
          <c:extLst>
            <c:ext xmlns:c16="http://schemas.microsoft.com/office/drawing/2014/chart" uri="{C3380CC4-5D6E-409C-BE32-E72D297353CC}">
              <c16:uniqueId val="{00000000-11B6-B94E-9C6A-147C05957EFA}"/>
            </c:ext>
          </c:extLst>
        </c:ser>
        <c:ser>
          <c:idx val="1"/>
          <c:order val="2"/>
          <c:tx>
            <c:strRef>
              <c:f>Calcs!$C$8</c:f>
              <c:strCache>
                <c:ptCount val="1"/>
                <c:pt idx="0">
                  <c:v>Other Expenditure</c:v>
                </c:pt>
              </c:strCache>
            </c:strRef>
          </c:tx>
          <c:spPr>
            <a:solidFill>
              <a:srgbClr val="FF6C5E"/>
            </a:solidFill>
            <a:ln>
              <a:noFill/>
            </a:ln>
            <a:effectLst/>
          </c:spPr>
          <c:cat>
            <c:numRef>
              <c:f>Calcs!$A$9:$A$28</c:f>
              <c:numCache>
                <c:formatCode>mmm\-yy</c:formatCode>
                <c:ptCount val="20"/>
                <c:pt idx="0">
                  <c:v>45778</c:v>
                </c:pt>
                <c:pt idx="1">
                  <c:v>45809</c:v>
                </c:pt>
                <c:pt idx="2">
                  <c:v>45839</c:v>
                </c:pt>
                <c:pt idx="3">
                  <c:v>45870</c:v>
                </c:pt>
                <c:pt idx="4">
                  <c:v>45901</c:v>
                </c:pt>
                <c:pt idx="5">
                  <c:v>45931</c:v>
                </c:pt>
                <c:pt idx="6">
                  <c:v>45962</c:v>
                </c:pt>
                <c:pt idx="7">
                  <c:v>45992</c:v>
                </c:pt>
                <c:pt idx="8">
                  <c:v>46023</c:v>
                </c:pt>
                <c:pt idx="9">
                  <c:v>46054</c:v>
                </c:pt>
                <c:pt idx="10">
                  <c:v>46082</c:v>
                </c:pt>
                <c:pt idx="11">
                  <c:v>46113</c:v>
                </c:pt>
                <c:pt idx="12">
                  <c:v>46143</c:v>
                </c:pt>
                <c:pt idx="13">
                  <c:v>46174</c:v>
                </c:pt>
                <c:pt idx="14">
                  <c:v>46204</c:v>
                </c:pt>
                <c:pt idx="15">
                  <c:v>46235</c:v>
                </c:pt>
                <c:pt idx="16">
                  <c:v>46266</c:v>
                </c:pt>
                <c:pt idx="17">
                  <c:v>46296</c:v>
                </c:pt>
                <c:pt idx="18">
                  <c:v>46327</c:v>
                </c:pt>
                <c:pt idx="19">
                  <c:v>46357</c:v>
                </c:pt>
              </c:numCache>
            </c:numRef>
          </c:cat>
          <c:val>
            <c:numRef>
              <c:f>Calcs!$C$9:$C$28</c:f>
              <c:numCache>
                <c:formatCode>_-[$£-809]* #,##0.00_-;\-[$£-809]* #,##0.00_-;_-[$£-809]* "-"??_-;_-@_-</c:formatCode>
                <c:ptCount val="20"/>
                <c:pt idx="0">
                  <c:v>1200</c:v>
                </c:pt>
                <c:pt idx="1">
                  <c:v>650</c:v>
                </c:pt>
                <c:pt idx="2">
                  <c:v>350</c:v>
                </c:pt>
                <c:pt idx="3">
                  <c:v>100</c:v>
                </c:pt>
                <c:pt idx="4">
                  <c:v>0</c:v>
                </c:pt>
                <c:pt idx="5">
                  <c:v>500</c:v>
                </c:pt>
                <c:pt idx="6">
                  <c:v>450</c:v>
                </c:pt>
                <c:pt idx="7">
                  <c:v>150</c:v>
                </c:pt>
                <c:pt idx="8">
                  <c:v>395</c:v>
                </c:pt>
                <c:pt idx="9">
                  <c:v>650</c:v>
                </c:pt>
                <c:pt idx="10">
                  <c:v>1700</c:v>
                </c:pt>
                <c:pt idx="11">
                  <c:v>400</c:v>
                </c:pt>
                <c:pt idx="12">
                  <c:v>1700</c:v>
                </c:pt>
                <c:pt idx="13">
                  <c:v>0</c:v>
                </c:pt>
                <c:pt idx="14">
                  <c:v>800</c:v>
                </c:pt>
                <c:pt idx="15">
                  <c:v>0</c:v>
                </c:pt>
                <c:pt idx="16">
                  <c:v>450</c:v>
                </c:pt>
                <c:pt idx="17">
                  <c:v>0</c:v>
                </c:pt>
                <c:pt idx="18">
                  <c:v>0</c:v>
                </c:pt>
                <c:pt idx="19">
                  <c:v>0</c:v>
                </c:pt>
              </c:numCache>
            </c:numRef>
          </c:val>
          <c:extLst>
            <c:ext xmlns:c16="http://schemas.microsoft.com/office/drawing/2014/chart" uri="{C3380CC4-5D6E-409C-BE32-E72D297353CC}">
              <c16:uniqueId val="{00000001-11B6-B94E-9C6A-147C05957EFA}"/>
            </c:ext>
          </c:extLst>
        </c:ser>
        <c:dLbls>
          <c:showLegendKey val="0"/>
          <c:showVal val="0"/>
          <c:showCatName val="0"/>
          <c:showSerName val="0"/>
          <c:showPercent val="0"/>
          <c:showBubbleSize val="0"/>
        </c:dLbls>
        <c:axId val="1643967"/>
        <c:axId val="31618895"/>
      </c:areaChart>
      <c:lineChart>
        <c:grouping val="stacked"/>
        <c:varyColors val="0"/>
        <c:ser>
          <c:idx val="2"/>
          <c:order val="0"/>
          <c:tx>
            <c:strRef>
              <c:f>Calcs!$E$8</c:f>
              <c:strCache>
                <c:ptCount val="1"/>
                <c:pt idx="0">
                  <c:v>Income</c:v>
                </c:pt>
              </c:strCache>
            </c:strRef>
          </c:tx>
          <c:spPr>
            <a:ln w="38100" cap="rnd">
              <a:solidFill>
                <a:schemeClr val="accent6"/>
              </a:solidFill>
              <a:round/>
            </a:ln>
            <a:effectLst/>
          </c:spPr>
          <c:marker>
            <c:symbol val="none"/>
          </c:marker>
          <c:cat>
            <c:numRef>
              <c:f>Calcs!$A$9:$A$28</c:f>
              <c:numCache>
                <c:formatCode>mmm\-yy</c:formatCode>
                <c:ptCount val="20"/>
                <c:pt idx="0">
                  <c:v>45778</c:v>
                </c:pt>
                <c:pt idx="1">
                  <c:v>45809</c:v>
                </c:pt>
                <c:pt idx="2">
                  <c:v>45839</c:v>
                </c:pt>
                <c:pt idx="3">
                  <c:v>45870</c:v>
                </c:pt>
                <c:pt idx="4">
                  <c:v>45901</c:v>
                </c:pt>
                <c:pt idx="5">
                  <c:v>45931</c:v>
                </c:pt>
                <c:pt idx="6">
                  <c:v>45962</c:v>
                </c:pt>
                <c:pt idx="7">
                  <c:v>45992</c:v>
                </c:pt>
                <c:pt idx="8">
                  <c:v>46023</c:v>
                </c:pt>
                <c:pt idx="9">
                  <c:v>46054</c:v>
                </c:pt>
                <c:pt idx="10">
                  <c:v>46082</c:v>
                </c:pt>
                <c:pt idx="11">
                  <c:v>46113</c:v>
                </c:pt>
                <c:pt idx="12">
                  <c:v>46143</c:v>
                </c:pt>
                <c:pt idx="13">
                  <c:v>46174</c:v>
                </c:pt>
                <c:pt idx="14">
                  <c:v>46204</c:v>
                </c:pt>
                <c:pt idx="15">
                  <c:v>46235</c:v>
                </c:pt>
                <c:pt idx="16">
                  <c:v>46266</c:v>
                </c:pt>
                <c:pt idx="17">
                  <c:v>46296</c:v>
                </c:pt>
                <c:pt idx="18">
                  <c:v>46327</c:v>
                </c:pt>
                <c:pt idx="19">
                  <c:v>46357</c:v>
                </c:pt>
              </c:numCache>
            </c:numRef>
          </c:cat>
          <c:val>
            <c:numRef>
              <c:f>Calcs!$E$9:$E$28</c:f>
              <c:numCache>
                <c:formatCode>_-[$£-809]* #,##0.00_-;\-[$£-809]* #,##0.00_-;_-[$£-809]* "-"??_-;_-@_-</c:formatCode>
                <c:ptCount val="20"/>
                <c:pt idx="0">
                  <c:v>1976</c:v>
                </c:pt>
                <c:pt idx="1">
                  <c:v>1976</c:v>
                </c:pt>
                <c:pt idx="2">
                  <c:v>1976</c:v>
                </c:pt>
                <c:pt idx="3">
                  <c:v>1976</c:v>
                </c:pt>
                <c:pt idx="4">
                  <c:v>1976</c:v>
                </c:pt>
                <c:pt idx="5">
                  <c:v>2178</c:v>
                </c:pt>
                <c:pt idx="6">
                  <c:v>2178</c:v>
                </c:pt>
                <c:pt idx="7">
                  <c:v>2178</c:v>
                </c:pt>
                <c:pt idx="8">
                  <c:v>2178</c:v>
                </c:pt>
                <c:pt idx="9">
                  <c:v>2178</c:v>
                </c:pt>
                <c:pt idx="10">
                  <c:v>2317.02</c:v>
                </c:pt>
                <c:pt idx="11">
                  <c:v>2317.02</c:v>
                </c:pt>
                <c:pt idx="12">
                  <c:v>2317.02</c:v>
                </c:pt>
                <c:pt idx="13">
                  <c:v>2317.02</c:v>
                </c:pt>
                <c:pt idx="14">
                  <c:v>2317.02</c:v>
                </c:pt>
                <c:pt idx="15">
                  <c:v>2317.02</c:v>
                </c:pt>
                <c:pt idx="16">
                  <c:v>2317.02</c:v>
                </c:pt>
                <c:pt idx="17">
                  <c:v>2317.02</c:v>
                </c:pt>
                <c:pt idx="18">
                  <c:v>2317.02</c:v>
                </c:pt>
                <c:pt idx="19">
                  <c:v>2317.02</c:v>
                </c:pt>
              </c:numCache>
            </c:numRef>
          </c:val>
          <c:smooth val="0"/>
          <c:extLst>
            <c:ext xmlns:c16="http://schemas.microsoft.com/office/drawing/2014/chart" uri="{C3380CC4-5D6E-409C-BE32-E72D297353CC}">
              <c16:uniqueId val="{00000007-11B6-B94E-9C6A-147C05957EFA}"/>
            </c:ext>
          </c:extLst>
        </c:ser>
        <c:dLbls>
          <c:showLegendKey val="0"/>
          <c:showVal val="0"/>
          <c:showCatName val="0"/>
          <c:showSerName val="0"/>
          <c:showPercent val="0"/>
          <c:showBubbleSize val="0"/>
        </c:dLbls>
        <c:marker val="1"/>
        <c:smooth val="0"/>
        <c:axId val="1643967"/>
        <c:axId val="31618895"/>
      </c:lineChart>
      <c:dateAx>
        <c:axId val="1643967"/>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1618895"/>
        <c:crosses val="autoZero"/>
        <c:auto val="1"/>
        <c:lblOffset val="100"/>
        <c:baseTimeUnit val="months"/>
      </c:dateAx>
      <c:valAx>
        <c:axId val="3161889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9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0.13909141298922911"/>
          <c:y val="0.11543800226242865"/>
          <c:w val="0.72366657456239669"/>
          <c:h val="0.72135091837602083"/>
        </c:manualLayout>
      </c:layout>
      <c:lineChart>
        <c:grouping val="standard"/>
        <c:varyColors val="0"/>
        <c:ser>
          <c:idx val="5"/>
          <c:order val="0"/>
          <c:tx>
            <c:strRef>
              <c:f>Calcs!$G$8</c:f>
              <c:strCache>
                <c:ptCount val="1"/>
                <c:pt idx="0">
                  <c:v>Cumulative Cash</c:v>
                </c:pt>
              </c:strCache>
            </c:strRef>
          </c:tx>
          <c:spPr>
            <a:ln w="31750" cap="rnd">
              <a:solidFill>
                <a:schemeClr val="accent6"/>
              </a:solidFill>
              <a:round/>
            </a:ln>
            <a:effectLst/>
          </c:spPr>
          <c:marker>
            <c:symbol val="circle"/>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clip" horzOverflow="clip" vert="horz" wrap="square" lIns="0" tIns="0" rIns="0" bIns="0" anchor="ctr" anchorCtr="0"/>
              <a:lstStyle/>
              <a:p>
                <a:pPr>
                  <a:defRPr sz="10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tx2">
                          <a:lumMod val="35000"/>
                          <a:lumOff val="65000"/>
                        </a:schemeClr>
                      </a:solidFill>
                    </a:ln>
                    <a:effectLst/>
                  </c:spPr>
                </c15:leaderLines>
              </c:ext>
            </c:extLst>
          </c:dLbls>
          <c:cat>
            <c:numRef>
              <c:f>Calcs!$A$9:$A$16</c:f>
              <c:numCache>
                <c:formatCode>mmm\-yy</c:formatCode>
                <c:ptCount val="8"/>
                <c:pt idx="0">
                  <c:v>45778</c:v>
                </c:pt>
                <c:pt idx="1">
                  <c:v>45809</c:v>
                </c:pt>
                <c:pt idx="2">
                  <c:v>45839</c:v>
                </c:pt>
                <c:pt idx="3">
                  <c:v>45870</c:v>
                </c:pt>
                <c:pt idx="4">
                  <c:v>45901</c:v>
                </c:pt>
                <c:pt idx="5">
                  <c:v>45931</c:v>
                </c:pt>
                <c:pt idx="6">
                  <c:v>45962</c:v>
                </c:pt>
                <c:pt idx="7">
                  <c:v>45992</c:v>
                </c:pt>
              </c:numCache>
            </c:numRef>
          </c:cat>
          <c:val>
            <c:numRef>
              <c:f>Calcs!$G$9:$G$16</c:f>
              <c:numCache>
                <c:formatCode>_-[$£-809]* #,##0.00_-;\-[$£-809]* #,##0.00_-;_-[$£-809]* "-"??_-;_-@_-</c:formatCode>
                <c:ptCount val="8"/>
                <c:pt idx="0">
                  <c:v>-284</c:v>
                </c:pt>
                <c:pt idx="1">
                  <c:v>-18</c:v>
                </c:pt>
                <c:pt idx="2">
                  <c:v>548</c:v>
                </c:pt>
                <c:pt idx="3">
                  <c:v>1364</c:v>
                </c:pt>
                <c:pt idx="4">
                  <c:v>2280</c:v>
                </c:pt>
                <c:pt idx="5">
                  <c:v>2709</c:v>
                </c:pt>
                <c:pt idx="6">
                  <c:v>3188</c:v>
                </c:pt>
                <c:pt idx="7">
                  <c:v>3967</c:v>
                </c:pt>
              </c:numCache>
            </c:numRef>
          </c:val>
          <c:smooth val="0"/>
          <c:extLst>
            <c:ext xmlns:c16="http://schemas.microsoft.com/office/drawing/2014/chart" uri="{C3380CC4-5D6E-409C-BE32-E72D297353CC}">
              <c16:uniqueId val="{00000005-91A3-984B-B4B1-4D67424EE621}"/>
            </c:ext>
          </c:extLst>
        </c:ser>
        <c:dLbls>
          <c:showLegendKey val="0"/>
          <c:showVal val="0"/>
          <c:showCatName val="0"/>
          <c:showSerName val="0"/>
          <c:showPercent val="0"/>
          <c:showBubbleSize val="0"/>
        </c:dLbls>
        <c:marker val="1"/>
        <c:smooth val="0"/>
        <c:axId val="577474463"/>
        <c:axId val="34274463"/>
      </c:lineChart>
      <c:dateAx>
        <c:axId val="577474463"/>
        <c:scaling>
          <c:orientation val="minMax"/>
        </c:scaling>
        <c:delete val="0"/>
        <c:axPos val="b"/>
        <c:numFmt formatCode="mmm\-yy"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crossAx val="34274463"/>
        <c:crosses val="autoZero"/>
        <c:auto val="1"/>
        <c:lblOffset val="100"/>
        <c:baseTimeUnit val="months"/>
      </c:dateAx>
      <c:valAx>
        <c:axId val="34274463"/>
        <c:scaling>
          <c:orientation val="minMax"/>
        </c:scaling>
        <c:delete val="0"/>
        <c:axPos val="l"/>
        <c:majorGridlines>
          <c:spPr>
            <a:ln w="9525" cap="flat" cmpd="sng" algn="ctr">
              <a:solidFill>
                <a:schemeClr val="tx2">
                  <a:lumMod val="15000"/>
                  <a:lumOff val="85000"/>
                </a:schemeClr>
              </a:solidFill>
              <a:round/>
            </a:ln>
            <a:effectLst/>
          </c:spPr>
        </c:majorGridlines>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crossAx val="577474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sz="1000"/>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Projections!$D$4</c:f>
              <c:strCache>
                <c:ptCount val="1"/>
                <c:pt idx="0">
                  <c:v>Projected Worth</c:v>
                </c:pt>
              </c:strCache>
            </c:strRef>
          </c:tx>
          <c:spPr>
            <a:ln w="22225" cap="rnd">
              <a:solidFill>
                <a:schemeClr val="accent1"/>
              </a:solidFill>
              <a:prstDash val="sysDash"/>
              <a:round/>
            </a:ln>
            <a:effectLst/>
          </c:spPr>
          <c:marker>
            <c:symbol val="none"/>
          </c:marker>
          <c:xVal>
            <c:numRef>
              <c:f>Projections!$A$5:$A$23</c:f>
              <c:numCache>
                <c:formatCode>mmm\-yy</c:formatCode>
                <c:ptCount val="19"/>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pt idx="12">
                  <c:v>46204</c:v>
                </c:pt>
                <c:pt idx="13">
                  <c:v>46235</c:v>
                </c:pt>
                <c:pt idx="14">
                  <c:v>46266</c:v>
                </c:pt>
                <c:pt idx="15">
                  <c:v>46296</c:v>
                </c:pt>
                <c:pt idx="16">
                  <c:v>46327</c:v>
                </c:pt>
                <c:pt idx="17">
                  <c:v>46357</c:v>
                </c:pt>
                <c:pt idx="18">
                  <c:v>46388</c:v>
                </c:pt>
              </c:numCache>
            </c:numRef>
          </c:xVal>
          <c:yVal>
            <c:numRef>
              <c:f>Projections!$D$5:$D$23</c:f>
              <c:numCache>
                <c:formatCode>General</c:formatCode>
                <c:ptCount val="19"/>
                <c:pt idx="0">
                  <c:v>24885</c:v>
                </c:pt>
                <c:pt idx="1">
                  <c:v>25701</c:v>
                </c:pt>
                <c:pt idx="2">
                  <c:v>26617</c:v>
                </c:pt>
                <c:pt idx="3">
                  <c:v>27046</c:v>
                </c:pt>
                <c:pt idx="4">
                  <c:v>27525</c:v>
                </c:pt>
                <c:pt idx="5">
                  <c:v>28304</c:v>
                </c:pt>
                <c:pt idx="6">
                  <c:v>28838</c:v>
                </c:pt>
                <c:pt idx="7">
                  <c:v>29117</c:v>
                </c:pt>
                <c:pt idx="8">
                  <c:v>28485.02</c:v>
                </c:pt>
                <c:pt idx="9">
                  <c:v>29153.040000000001</c:v>
                </c:pt>
                <c:pt idx="10">
                  <c:v>28521.06</c:v>
                </c:pt>
                <c:pt idx="11">
                  <c:v>29589.08</c:v>
                </c:pt>
                <c:pt idx="12">
                  <c:v>29857.100000000002</c:v>
                </c:pt>
                <c:pt idx="13">
                  <c:v>30925.120000000003</c:v>
                </c:pt>
                <c:pt idx="14">
                  <c:v>31543.140000000003</c:v>
                </c:pt>
                <c:pt idx="15">
                  <c:v>32611.160000000003</c:v>
                </c:pt>
                <c:pt idx="16">
                  <c:v>33679.18</c:v>
                </c:pt>
                <c:pt idx="17">
                  <c:v>34747.199999999997</c:v>
                </c:pt>
                <c:pt idx="18">
                  <c:v>35816.219999999994</c:v>
                </c:pt>
              </c:numCache>
            </c:numRef>
          </c:yVal>
          <c:smooth val="0"/>
          <c:extLst>
            <c:ext xmlns:c16="http://schemas.microsoft.com/office/drawing/2014/chart" uri="{C3380CC4-5D6E-409C-BE32-E72D297353CC}">
              <c16:uniqueId val="{00000000-9A55-1D42-9391-C963F680DF40}"/>
            </c:ext>
          </c:extLst>
        </c:ser>
        <c:dLbls>
          <c:showLegendKey val="0"/>
          <c:showVal val="0"/>
          <c:showCatName val="0"/>
          <c:showSerName val="0"/>
          <c:showPercent val="0"/>
          <c:showBubbleSize val="0"/>
        </c:dLbls>
        <c:axId val="185705215"/>
        <c:axId val="189485151"/>
      </c:scatterChart>
      <c:scatterChart>
        <c:scatterStyle val="lineMarker"/>
        <c:varyColors val="0"/>
        <c:ser>
          <c:idx val="1"/>
          <c:order val="1"/>
          <c:tx>
            <c:strRef>
              <c:f>Projections!$E$4</c:f>
              <c:strCache>
                <c:ptCount val="1"/>
                <c:pt idx="0">
                  <c:v>Actual Worth</c:v>
                </c:pt>
              </c:strCache>
            </c:strRef>
          </c:tx>
          <c:spPr>
            <a:ln w="25400" cap="rnd">
              <a:solidFill>
                <a:schemeClr val="tx1">
                  <a:lumMod val="50000"/>
                  <a:lumOff val="50000"/>
                </a:schemeClr>
              </a:solidFill>
              <a:round/>
            </a:ln>
            <a:effectLst/>
          </c:spPr>
          <c:marker>
            <c:symbol val="square"/>
            <c:size val="6"/>
            <c:spPr>
              <a:solidFill>
                <a:schemeClr val="accent2"/>
              </a:solidFill>
              <a:ln w="9525">
                <a:solidFill>
                  <a:schemeClr val="accent2"/>
                </a:solidFill>
                <a:round/>
              </a:ln>
              <a:effectLst/>
            </c:spPr>
          </c:marker>
          <c:xVal>
            <c:numRef>
              <c:f>Projections!$A$5:$A$23</c:f>
              <c:numCache>
                <c:formatCode>mmm\-yy</c:formatCode>
                <c:ptCount val="19"/>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pt idx="12">
                  <c:v>46204</c:v>
                </c:pt>
                <c:pt idx="13">
                  <c:v>46235</c:v>
                </c:pt>
                <c:pt idx="14">
                  <c:v>46266</c:v>
                </c:pt>
                <c:pt idx="15">
                  <c:v>46296</c:v>
                </c:pt>
                <c:pt idx="16">
                  <c:v>46327</c:v>
                </c:pt>
                <c:pt idx="17">
                  <c:v>46357</c:v>
                </c:pt>
                <c:pt idx="18">
                  <c:v>46388</c:v>
                </c:pt>
              </c:numCache>
            </c:numRef>
          </c:xVal>
          <c:yVal>
            <c:numRef>
              <c:f>Projections!$E$5:$E$23</c:f>
              <c:numCache>
                <c:formatCode>General</c:formatCode>
                <c:ptCount val="19"/>
                <c:pt idx="0">
                  <c:v>24885</c:v>
                </c:pt>
                <c:pt idx="1">
                  <c:v>25952</c:v>
                </c:pt>
                <c:pt idx="2">
                  <c:v>26977.505000000001</c:v>
                </c:pt>
                <c:pt idx="3">
                  <c:v>28003.010000000002</c:v>
                </c:pt>
                <c:pt idx="4">
                  <c:v>27601.05</c:v>
                </c:pt>
                <c:pt idx="5">
                  <c:v>28948</c:v>
                </c:pt>
                <c:pt idx="6">
                  <c:v>26608</c:v>
                </c:pt>
                <c:pt idx="7">
                  <c:v>26248.114999999998</c:v>
                </c:pt>
                <c:pt idx="8">
                  <c:v>25888.23</c:v>
                </c:pt>
                <c:pt idx="9">
                  <c:v>26766</c:v>
                </c:pt>
                <c:pt idx="10">
                  <c:v>27093</c:v>
                </c:pt>
              </c:numCache>
            </c:numRef>
          </c:yVal>
          <c:smooth val="0"/>
          <c:extLst>
            <c:ext xmlns:c16="http://schemas.microsoft.com/office/drawing/2014/chart" uri="{C3380CC4-5D6E-409C-BE32-E72D297353CC}">
              <c16:uniqueId val="{00000001-9A55-1D42-9391-C963F680DF40}"/>
            </c:ext>
          </c:extLst>
        </c:ser>
        <c:dLbls>
          <c:showLegendKey val="0"/>
          <c:showVal val="0"/>
          <c:showCatName val="0"/>
          <c:showSerName val="0"/>
          <c:showPercent val="0"/>
          <c:showBubbleSize val="0"/>
        </c:dLbls>
        <c:axId val="185705215"/>
        <c:axId val="189485151"/>
      </c:scatterChart>
      <c:valAx>
        <c:axId val="185705215"/>
        <c:scaling>
          <c:orientation val="minMax"/>
        </c:scaling>
        <c:delete val="0"/>
        <c:axPos val="b"/>
        <c:majorGridlines>
          <c:spPr>
            <a:ln w="9525" cap="flat" cmpd="sng" algn="ctr">
              <a:solidFill>
                <a:schemeClr val="tx1">
                  <a:lumMod val="15000"/>
                  <a:lumOff val="85000"/>
                </a:schemeClr>
              </a:solidFill>
              <a:round/>
            </a:ln>
            <a:effectLst/>
          </c:spPr>
        </c:majorGridlines>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89485151"/>
        <c:crosses val="autoZero"/>
        <c:crossBetween val="midCat"/>
      </c:valAx>
      <c:valAx>
        <c:axId val="189485151"/>
        <c:scaling>
          <c:orientation val="minMax"/>
          <c:min val="22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0521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205376</xdr:colOff>
      <xdr:row>18</xdr:row>
      <xdr:rowOff>40899</xdr:rowOff>
    </xdr:from>
    <xdr:to>
      <xdr:col>6</xdr:col>
      <xdr:colOff>194332</xdr:colOff>
      <xdr:row>32</xdr:row>
      <xdr:rowOff>218081</xdr:rowOff>
    </xdr:to>
    <xdr:graphicFrame macro="">
      <xdr:nvGraphicFramePr>
        <xdr:cNvPr id="2" name="Chart 1">
          <a:extLst>
            <a:ext uri="{FF2B5EF4-FFF2-40B4-BE49-F238E27FC236}">
              <a16:creationId xmlns:a16="http://schemas.microsoft.com/office/drawing/2014/main" id="{0A493848-A574-B348-5664-6367795510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422948</xdr:colOff>
      <xdr:row>18</xdr:row>
      <xdr:rowOff>38741</xdr:rowOff>
    </xdr:from>
    <xdr:to>
      <xdr:col>8</xdr:col>
      <xdr:colOff>1086</xdr:colOff>
      <xdr:row>28</xdr:row>
      <xdr:rowOff>115454</xdr:rowOff>
    </xdr:to>
    <mc:AlternateContent xmlns:mc="http://schemas.openxmlformats.org/markup-compatibility/2006" xmlns:a14="http://schemas.microsoft.com/office/drawing/2010/main">
      <mc:Choice Requires="a14">
        <xdr:graphicFrame macro="">
          <xdr:nvGraphicFramePr>
            <xdr:cNvPr id="3" name="Account">
              <a:extLst>
                <a:ext uri="{FF2B5EF4-FFF2-40B4-BE49-F238E27FC236}">
                  <a16:creationId xmlns:a16="http://schemas.microsoft.com/office/drawing/2014/main" id="{0F73B2C4-F6F8-6C01-5890-1E86142610AB}"/>
                </a:ext>
              </a:extLst>
            </xdr:cNvPr>
            <xdr:cNvGraphicFramePr/>
          </xdr:nvGraphicFramePr>
          <xdr:xfrm>
            <a:off x="0" y="0"/>
            <a:ext cx="0" cy="0"/>
          </xdr:xfrm>
          <a:graphic>
            <a:graphicData uri="http://schemas.microsoft.com/office/drawing/2010/slicer">
              <sle:slicer xmlns:sle="http://schemas.microsoft.com/office/drawing/2010/slicer" name="Account"/>
            </a:graphicData>
          </a:graphic>
        </xdr:graphicFrame>
      </mc:Choice>
      <mc:Fallback xmlns="">
        <xdr:sp macro="" textlink="">
          <xdr:nvSpPr>
            <xdr:cNvPr id="0" name=""/>
            <xdr:cNvSpPr>
              <a:spLocks noTextEdit="1"/>
            </xdr:cNvSpPr>
          </xdr:nvSpPr>
          <xdr:spPr>
            <a:xfrm>
              <a:off x="5965845" y="3504535"/>
              <a:ext cx="1398429" cy="211820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407941</xdr:colOff>
      <xdr:row>1</xdr:row>
      <xdr:rowOff>89798</xdr:rowOff>
    </xdr:from>
    <xdr:to>
      <xdr:col>13</xdr:col>
      <xdr:colOff>910809</xdr:colOff>
      <xdr:row>17</xdr:row>
      <xdr:rowOff>128283</xdr:rowOff>
    </xdr:to>
    <xdr:graphicFrame macro="">
      <xdr:nvGraphicFramePr>
        <xdr:cNvPr id="5" name="Profit/Loss">
          <a:extLst>
            <a:ext uri="{FF2B5EF4-FFF2-40B4-BE49-F238E27FC236}">
              <a16:creationId xmlns:a16="http://schemas.microsoft.com/office/drawing/2014/main" id="{4141C808-03B9-E030-8DF1-2199B77FF3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217011</xdr:colOff>
      <xdr:row>1</xdr:row>
      <xdr:rowOff>115455</xdr:rowOff>
    </xdr:from>
    <xdr:to>
      <xdr:col>6</xdr:col>
      <xdr:colOff>217011</xdr:colOff>
      <xdr:row>17</xdr:row>
      <xdr:rowOff>115455</xdr:rowOff>
    </xdr:to>
    <xdr:graphicFrame macro="">
      <xdr:nvGraphicFramePr>
        <xdr:cNvPr id="6" name="Chart 5">
          <a:extLst>
            <a:ext uri="{FF2B5EF4-FFF2-40B4-BE49-F238E27FC236}">
              <a16:creationId xmlns:a16="http://schemas.microsoft.com/office/drawing/2014/main" id="{DD7B82F0-9EAB-7C41-B71C-52EC9DEEB3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327705</xdr:colOff>
      <xdr:row>7</xdr:row>
      <xdr:rowOff>102507</xdr:rowOff>
    </xdr:from>
    <xdr:to>
      <xdr:col>14</xdr:col>
      <xdr:colOff>623660</xdr:colOff>
      <xdr:row>24</xdr:row>
      <xdr:rowOff>11339</xdr:rowOff>
    </xdr:to>
    <xdr:graphicFrame macro="">
      <xdr:nvGraphicFramePr>
        <xdr:cNvPr id="2" name="Chart 1">
          <a:extLst>
            <a:ext uri="{FF2B5EF4-FFF2-40B4-BE49-F238E27FC236}">
              <a16:creationId xmlns:a16="http://schemas.microsoft.com/office/drawing/2014/main" id="{1B9815DF-F568-D0FE-B8BD-0CD48A902E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306432</xdr:colOff>
      <xdr:row>24</xdr:row>
      <xdr:rowOff>34422</xdr:rowOff>
    </xdr:from>
    <xdr:to>
      <xdr:col>15</xdr:col>
      <xdr:colOff>57294</xdr:colOff>
      <xdr:row>43</xdr:row>
      <xdr:rowOff>57294</xdr:rowOff>
    </xdr:to>
    <xdr:graphicFrame macro="">
      <xdr:nvGraphicFramePr>
        <xdr:cNvPr id="4" name="Chart 3">
          <a:extLst>
            <a:ext uri="{FF2B5EF4-FFF2-40B4-BE49-F238E27FC236}">
              <a16:creationId xmlns:a16="http://schemas.microsoft.com/office/drawing/2014/main" id="{FE5AB34B-4B69-AB72-71DE-B0EA62D31B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660400</xdr:colOff>
      <xdr:row>1</xdr:row>
      <xdr:rowOff>114300</xdr:rowOff>
    </xdr:from>
    <xdr:to>
      <xdr:col>13</xdr:col>
      <xdr:colOff>406400</xdr:colOff>
      <xdr:row>21</xdr:row>
      <xdr:rowOff>101600</xdr:rowOff>
    </xdr:to>
    <xdr:graphicFrame macro="">
      <xdr:nvGraphicFramePr>
        <xdr:cNvPr id="2" name="Chart 1">
          <a:extLst>
            <a:ext uri="{FF2B5EF4-FFF2-40B4-BE49-F238E27FC236}">
              <a16:creationId xmlns:a16="http://schemas.microsoft.com/office/drawing/2014/main" id="{EB850182-34AA-ACFE-6050-A6674A6DDE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23</xdr:row>
      <xdr:rowOff>0</xdr:rowOff>
    </xdr:from>
    <xdr:to>
      <xdr:col>1</xdr:col>
      <xdr:colOff>304800</xdr:colOff>
      <xdr:row>24</xdr:row>
      <xdr:rowOff>88901</xdr:rowOff>
    </xdr:to>
    <xdr:sp macro="" textlink="">
      <xdr:nvSpPr>
        <xdr:cNvPr id="4101" name="AutoShape 5" descr="Yieldly's logo">
          <a:extLst>
            <a:ext uri="{FF2B5EF4-FFF2-40B4-BE49-F238E27FC236}">
              <a16:creationId xmlns:a16="http://schemas.microsoft.com/office/drawing/2014/main" id="{A833BD48-2566-BD4D-9C0E-7718263C4F46}"/>
            </a:ext>
          </a:extLst>
        </xdr:cNvPr>
        <xdr:cNvSpPr>
          <a:spLocks noChangeAspect="1" noChangeArrowheads="1"/>
        </xdr:cNvSpPr>
      </xdr:nvSpPr>
      <xdr:spPr bwMode="auto">
        <a:xfrm>
          <a:off x="0" y="3517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xdr:row>
      <xdr:rowOff>0</xdr:rowOff>
    </xdr:from>
    <xdr:to>
      <xdr:col>1</xdr:col>
      <xdr:colOff>304800</xdr:colOff>
      <xdr:row>31</xdr:row>
      <xdr:rowOff>88901</xdr:rowOff>
    </xdr:to>
    <xdr:sp macro="" textlink="">
      <xdr:nvSpPr>
        <xdr:cNvPr id="4103" name="AutoShape 7" descr="Tether USDt's logo">
          <a:extLst>
            <a:ext uri="{FF2B5EF4-FFF2-40B4-BE49-F238E27FC236}">
              <a16:creationId xmlns:a16="http://schemas.microsoft.com/office/drawing/2014/main" id="{B4E4908E-B76B-234B-B1FE-EB09E72C7F7C}"/>
            </a:ext>
          </a:extLst>
        </xdr:cNvPr>
        <xdr:cNvSpPr>
          <a:spLocks noChangeAspect="1" noChangeArrowheads="1"/>
        </xdr:cNvSpPr>
      </xdr:nvSpPr>
      <xdr:spPr bwMode="auto">
        <a:xfrm>
          <a:off x="0" y="4737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xdr:row>
      <xdr:rowOff>0</xdr:rowOff>
    </xdr:from>
    <xdr:to>
      <xdr:col>1</xdr:col>
      <xdr:colOff>304800</xdr:colOff>
      <xdr:row>40</xdr:row>
      <xdr:rowOff>88900</xdr:rowOff>
    </xdr:to>
    <xdr:sp macro="" textlink="">
      <xdr:nvSpPr>
        <xdr:cNvPr id="4105" name="AutoShape 9" descr="goBTC's logo">
          <a:extLst>
            <a:ext uri="{FF2B5EF4-FFF2-40B4-BE49-F238E27FC236}">
              <a16:creationId xmlns:a16="http://schemas.microsoft.com/office/drawing/2014/main" id="{CCCA41ED-9E80-864E-B4EB-1D04413DD70A}"/>
            </a:ext>
          </a:extLst>
        </xdr:cNvPr>
        <xdr:cNvSpPr>
          <a:spLocks noChangeAspect="1" noChangeArrowheads="1"/>
        </xdr:cNvSpPr>
      </xdr:nvSpPr>
      <xdr:spPr bwMode="auto">
        <a:xfrm>
          <a:off x="0" y="5956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787400</xdr:colOff>
      <xdr:row>44</xdr:row>
      <xdr:rowOff>0</xdr:rowOff>
    </xdr:from>
    <xdr:to>
      <xdr:col>4</xdr:col>
      <xdr:colOff>166511</xdr:colOff>
      <xdr:row>45</xdr:row>
      <xdr:rowOff>88900</xdr:rowOff>
    </xdr:to>
    <xdr:sp macro="" textlink="">
      <xdr:nvSpPr>
        <xdr:cNvPr id="4108" name="AutoShape 12" descr="Algorand's logo">
          <a:extLst>
            <a:ext uri="{FF2B5EF4-FFF2-40B4-BE49-F238E27FC236}">
              <a16:creationId xmlns:a16="http://schemas.microsoft.com/office/drawing/2014/main" id="{0D0B7159-74AE-0342-9DE5-D12A110C4ACC}"/>
            </a:ext>
          </a:extLst>
        </xdr:cNvPr>
        <xdr:cNvSpPr>
          <a:spLocks noChangeAspect="1" noChangeArrowheads="1"/>
        </xdr:cNvSpPr>
      </xdr:nvSpPr>
      <xdr:spPr bwMode="auto">
        <a:xfrm>
          <a:off x="3263900" y="717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xdr:row>
      <xdr:rowOff>0</xdr:rowOff>
    </xdr:from>
    <xdr:to>
      <xdr:col>1</xdr:col>
      <xdr:colOff>304800</xdr:colOff>
      <xdr:row>51</xdr:row>
      <xdr:rowOff>88900</xdr:rowOff>
    </xdr:to>
    <xdr:sp macro="" textlink="">
      <xdr:nvSpPr>
        <xdr:cNvPr id="4109" name="AutoShape 13" descr="Wrapped Algo's logo">
          <a:extLst>
            <a:ext uri="{FF2B5EF4-FFF2-40B4-BE49-F238E27FC236}">
              <a16:creationId xmlns:a16="http://schemas.microsoft.com/office/drawing/2014/main" id="{65D647F8-250C-114E-A599-FC7B0B635A87}"/>
            </a:ext>
          </a:extLst>
        </xdr:cNvPr>
        <xdr:cNvSpPr>
          <a:spLocks noChangeAspect="1" noChangeArrowheads="1"/>
        </xdr:cNvSpPr>
      </xdr:nvSpPr>
      <xdr:spPr bwMode="auto">
        <a:xfrm>
          <a:off x="0" y="839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317500</xdr:colOff>
      <xdr:row>50</xdr:row>
      <xdr:rowOff>0</xdr:rowOff>
    </xdr:from>
    <xdr:to>
      <xdr:col>1</xdr:col>
      <xdr:colOff>622300</xdr:colOff>
      <xdr:row>51</xdr:row>
      <xdr:rowOff>88900</xdr:rowOff>
    </xdr:to>
    <xdr:sp macro="" textlink="">
      <xdr:nvSpPr>
        <xdr:cNvPr id="4110" name="AutoShape 14" descr="Algorand's logo">
          <a:extLst>
            <a:ext uri="{FF2B5EF4-FFF2-40B4-BE49-F238E27FC236}">
              <a16:creationId xmlns:a16="http://schemas.microsoft.com/office/drawing/2014/main" id="{ACD51820-4979-154E-8371-DF15683F5DAB}"/>
            </a:ext>
          </a:extLst>
        </xdr:cNvPr>
        <xdr:cNvSpPr>
          <a:spLocks noChangeAspect="1" noChangeArrowheads="1"/>
        </xdr:cNvSpPr>
      </xdr:nvSpPr>
      <xdr:spPr bwMode="auto">
        <a:xfrm>
          <a:off x="317500" y="839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xdr:row>
      <xdr:rowOff>0</xdr:rowOff>
    </xdr:from>
    <xdr:to>
      <xdr:col>1</xdr:col>
      <xdr:colOff>304800</xdr:colOff>
      <xdr:row>57</xdr:row>
      <xdr:rowOff>88900</xdr:rowOff>
    </xdr:to>
    <xdr:sp macro="" textlink="">
      <xdr:nvSpPr>
        <xdr:cNvPr id="4111" name="AutoShape 15" descr="Opulous's logo">
          <a:extLst>
            <a:ext uri="{FF2B5EF4-FFF2-40B4-BE49-F238E27FC236}">
              <a16:creationId xmlns:a16="http://schemas.microsoft.com/office/drawing/2014/main" id="{559E623A-3EA6-164E-A737-90D300B69146}"/>
            </a:ext>
          </a:extLst>
        </xdr:cNvPr>
        <xdr:cNvSpPr>
          <a:spLocks noChangeAspect="1" noChangeArrowheads="1"/>
        </xdr:cNvSpPr>
      </xdr:nvSpPr>
      <xdr:spPr bwMode="auto">
        <a:xfrm>
          <a:off x="0" y="9613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317500</xdr:colOff>
      <xdr:row>56</xdr:row>
      <xdr:rowOff>0</xdr:rowOff>
    </xdr:from>
    <xdr:to>
      <xdr:col>1</xdr:col>
      <xdr:colOff>622300</xdr:colOff>
      <xdr:row>57</xdr:row>
      <xdr:rowOff>88900</xdr:rowOff>
    </xdr:to>
    <xdr:sp macro="" textlink="">
      <xdr:nvSpPr>
        <xdr:cNvPr id="4112" name="AutoShape 16" descr="Algorand's logo">
          <a:extLst>
            <a:ext uri="{FF2B5EF4-FFF2-40B4-BE49-F238E27FC236}">
              <a16:creationId xmlns:a16="http://schemas.microsoft.com/office/drawing/2014/main" id="{188D0FA7-DE1C-C547-AEB7-F6E99FAEFAF3}"/>
            </a:ext>
          </a:extLst>
        </xdr:cNvPr>
        <xdr:cNvSpPr>
          <a:spLocks noChangeAspect="1" noChangeArrowheads="1"/>
        </xdr:cNvSpPr>
      </xdr:nvSpPr>
      <xdr:spPr bwMode="auto">
        <a:xfrm>
          <a:off x="317500" y="9613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787400</xdr:colOff>
      <xdr:row>62</xdr:row>
      <xdr:rowOff>0</xdr:rowOff>
    </xdr:from>
    <xdr:to>
      <xdr:col>4</xdr:col>
      <xdr:colOff>166511</xdr:colOff>
      <xdr:row>63</xdr:row>
      <xdr:rowOff>88900</xdr:rowOff>
    </xdr:to>
    <xdr:sp macro="" textlink="">
      <xdr:nvSpPr>
        <xdr:cNvPr id="4114" name="AutoShape 18" descr="goBTC's logo">
          <a:extLst>
            <a:ext uri="{FF2B5EF4-FFF2-40B4-BE49-F238E27FC236}">
              <a16:creationId xmlns:a16="http://schemas.microsoft.com/office/drawing/2014/main" id="{E5C15E04-3E33-1941-B104-95E5535FA317}"/>
            </a:ext>
          </a:extLst>
        </xdr:cNvPr>
        <xdr:cNvSpPr>
          <a:spLocks noChangeAspect="1" noChangeArrowheads="1"/>
        </xdr:cNvSpPr>
      </xdr:nvSpPr>
      <xdr:spPr bwMode="auto">
        <a:xfrm>
          <a:off x="3263900" y="10833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ck Bahou" refreshedDate="46177.904546527781" createdVersion="8" refreshedVersion="8" minRefreshableVersion="3" recordCount="108" xr:uid="{61468BB7-7712-1F41-9526-69506F48AD11}">
  <cacheSource type="worksheet">
    <worksheetSource name="Table1"/>
  </cacheSource>
  <cacheFields count="6">
    <cacheField name="Date" numFmtId="14">
      <sharedItems containsSemiMixedTypes="0" containsNonDate="0" containsDate="1" containsString="0" minDate="2024-12-28T00:00:00" maxDate="2026-06-05T00:00:00" count="16">
        <d v="2026-06-04T00:00:00"/>
        <d v="2026-05-15T00:00:00"/>
        <d v="2026-04-06T00:00:00"/>
        <d v="2026-02-10T00:00:00"/>
        <d v="2025-12-30T00:00:00"/>
        <d v="2025-12-09T00:00:00"/>
        <d v="2025-11-01T00:00:00"/>
        <d v="2025-08-03T00:00:00"/>
        <d v="2025-07-01T00:00:00"/>
        <d v="2025-05-31T00:00:00"/>
        <d v="2025-05-14T00:00:00"/>
        <d v="2025-04-02T00:00:00"/>
        <d v="2025-03-02T00:00:00"/>
        <d v="2024-12-30T00:00:00"/>
        <d v="2024-12-28T00:00:00"/>
        <d v="2025-06-29T00:00:00" u="1"/>
      </sharedItems>
    </cacheField>
    <cacheField name="Account" numFmtId="0">
      <sharedItems count="10">
        <s v="Chase"/>
        <s v="Moneybox (LISA)"/>
        <s v="S&amp;S ISA"/>
        <s v="Crypto"/>
        <s v="Monzo (Spend)"/>
        <s v="Debit (Revolut)"/>
        <s v="Credit"/>
        <s v="Monzo (Savings)"/>
        <s v="Vanguard" u="1"/>
        <s v="Nutmeg (LISA)" u="1"/>
      </sharedItems>
    </cacheField>
    <cacheField name="Amount" numFmtId="165">
      <sharedItems containsSemiMixedTypes="0" containsString="0" containsNumber="1" minValue="-675" maxValue="17190"/>
    </cacheField>
    <cacheField name="P/L" numFmtId="165">
      <sharedItems containsMixedTypes="1" containsNumber="1" minValue="-14944.55" maxValue="4832.2299999999996"/>
    </cacheField>
    <cacheField name="PL (%)" numFmtId="9">
      <sharedItems containsMixedTypes="1" containsNumber="1" minValue="-1" maxValue="0.39350000000000002"/>
    </cacheField>
    <cacheField name="Notes" numFmtId="0">
      <sharedItems containsBlank="1"/>
    </cacheField>
  </cacheFields>
  <extLst>
    <ext xmlns:x14="http://schemas.microsoft.com/office/spreadsheetml/2009/9/main" uri="{725AE2AE-9491-48be-B2B4-4EB974FC3084}">
      <x14:pivotCacheDefinition pivotCacheId="11389106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
  <r>
    <x v="0"/>
    <x v="0"/>
    <n v="17190"/>
    <n v="190"/>
    <n v="1.1176470588235295E-2"/>
    <m/>
  </r>
  <r>
    <x v="0"/>
    <x v="1"/>
    <n v="15892"/>
    <n v="3892"/>
    <n v="0.32433333333333331"/>
    <m/>
  </r>
  <r>
    <x v="0"/>
    <x v="2"/>
    <n v="5574"/>
    <n v="1574"/>
    <n v="0.39350000000000002"/>
    <m/>
  </r>
  <r>
    <x v="0"/>
    <x v="3"/>
    <n v="1200"/>
    <n v="-182"/>
    <n v="-4.5217391304347827E-2"/>
    <m/>
  </r>
  <r>
    <x v="0"/>
    <x v="4"/>
    <n v="621"/>
    <e v="#N/A"/>
    <e v="#N/A"/>
    <m/>
  </r>
  <r>
    <x v="0"/>
    <x v="5"/>
    <n v="216"/>
    <e v="#N/A"/>
    <e v="#N/A"/>
    <m/>
  </r>
  <r>
    <x v="0"/>
    <x v="6"/>
    <n v="0"/>
    <e v="#N/A"/>
    <e v="#N/A"/>
    <m/>
  </r>
  <r>
    <x v="0"/>
    <x v="7"/>
    <n v="1400"/>
    <n v="1400"/>
    <e v="#DIV/0!"/>
    <m/>
  </r>
  <r>
    <x v="1"/>
    <x v="0"/>
    <n v="2062"/>
    <n v="-14938"/>
    <n v="-0.87870588235294123"/>
    <m/>
  </r>
  <r>
    <x v="1"/>
    <x v="1"/>
    <n v="15850"/>
    <n v="3850"/>
    <n v="0.32083333333333336"/>
    <m/>
  </r>
  <r>
    <x v="1"/>
    <x v="2"/>
    <n v="5482"/>
    <n v="1482"/>
    <n v="0.3705"/>
    <m/>
  </r>
  <r>
    <x v="1"/>
    <x v="3"/>
    <n v="1500"/>
    <n v="118"/>
    <n v="2.9316770186335404E-2"/>
    <m/>
  </r>
  <r>
    <x v="1"/>
    <x v="4"/>
    <n v="1045"/>
    <e v="#N/A"/>
    <e v="#N/A"/>
    <m/>
  </r>
  <r>
    <x v="1"/>
    <x v="5"/>
    <n v="230"/>
    <e v="#N/A"/>
    <e v="#N/A"/>
    <m/>
  </r>
  <r>
    <x v="1"/>
    <x v="6"/>
    <n v="0"/>
    <e v="#N/A"/>
    <e v="#N/A"/>
    <m/>
  </r>
  <r>
    <x v="1"/>
    <x v="7"/>
    <n v="597"/>
    <n v="597"/>
    <e v="#DIV/0!"/>
    <m/>
  </r>
  <r>
    <x v="2"/>
    <x v="0"/>
    <n v="2055.4499999999998"/>
    <n v="-14944.55"/>
    <n v="-0.87909117647058821"/>
    <m/>
  </r>
  <r>
    <x v="2"/>
    <x v="1"/>
    <n v="15800"/>
    <n v="3800"/>
    <n v="0.31666666666666665"/>
    <m/>
  </r>
  <r>
    <x v="2"/>
    <x v="2"/>
    <n v="4961"/>
    <n v="961"/>
    <n v="0.24024999999999999"/>
    <m/>
  </r>
  <r>
    <x v="2"/>
    <x v="3"/>
    <n v="1267"/>
    <n v="-115"/>
    <n v="-2.8571428571428571E-2"/>
    <m/>
  </r>
  <r>
    <x v="2"/>
    <x v="4"/>
    <n v="978.18"/>
    <e v="#N/A"/>
    <e v="#N/A"/>
    <m/>
  </r>
  <r>
    <x v="2"/>
    <x v="5"/>
    <n v="230"/>
    <e v="#N/A"/>
    <e v="#N/A"/>
    <m/>
  </r>
  <r>
    <x v="2"/>
    <x v="6"/>
    <n v="0"/>
    <e v="#N/A"/>
    <e v="#N/A"/>
    <m/>
  </r>
  <r>
    <x v="2"/>
    <x v="7"/>
    <n v="596.6"/>
    <n v="596.6"/>
    <e v="#DIV/0!"/>
    <m/>
  </r>
  <r>
    <x v="3"/>
    <x v="1"/>
    <n v="15733"/>
    <n v="3733"/>
    <n v="0.31108333333333332"/>
    <m/>
  </r>
  <r>
    <x v="3"/>
    <x v="2"/>
    <n v="5087"/>
    <n v="1087"/>
    <n v="0.27174999999999999"/>
    <m/>
  </r>
  <r>
    <x v="3"/>
    <x v="3"/>
    <n v="1500"/>
    <n v="118"/>
    <n v="2.9316770186335404E-2"/>
    <m/>
  </r>
  <r>
    <x v="3"/>
    <x v="4"/>
    <n v="451"/>
    <e v="#N/A"/>
    <e v="#N/A"/>
    <m/>
  </r>
  <r>
    <x v="3"/>
    <x v="5"/>
    <n v="230"/>
    <e v="#N/A"/>
    <e v="#N/A"/>
    <m/>
  </r>
  <r>
    <x v="3"/>
    <x v="6"/>
    <n v="0"/>
    <e v="#N/A"/>
    <e v="#N/A"/>
    <m/>
  </r>
  <r>
    <x v="3"/>
    <x v="7"/>
    <n v="3607"/>
    <n v="3607"/>
    <e v="#DIV/0!"/>
    <m/>
  </r>
  <r>
    <x v="4"/>
    <x v="1"/>
    <n v="15538"/>
    <n v="3538"/>
    <n v="0.29483333333333334"/>
    <m/>
  </r>
  <r>
    <x v="4"/>
    <x v="2"/>
    <n v="4972"/>
    <n v="972"/>
    <n v="0.24299999999999999"/>
    <m/>
  </r>
  <r>
    <x v="4"/>
    <x v="3"/>
    <n v="1700"/>
    <n v="318"/>
    <n v="7.9006211180124228E-2"/>
    <m/>
  </r>
  <r>
    <x v="4"/>
    <x v="4"/>
    <n v="1720"/>
    <e v="#N/A"/>
    <e v="#N/A"/>
    <m/>
  </r>
  <r>
    <x v="4"/>
    <x v="5"/>
    <n v="194"/>
    <e v="#N/A"/>
    <e v="#N/A"/>
    <m/>
  </r>
  <r>
    <x v="4"/>
    <x v="6"/>
    <n v="0"/>
    <e v="#N/A"/>
    <e v="#N/A"/>
    <m/>
  </r>
  <r>
    <x v="4"/>
    <x v="7"/>
    <n v="4824"/>
    <n v="4824"/>
    <e v="#DIV/0!"/>
    <m/>
  </r>
  <r>
    <x v="5"/>
    <x v="1"/>
    <n v="15511"/>
    <n v="3511"/>
    <n v="0.29258333333333331"/>
    <m/>
  </r>
  <r>
    <x v="5"/>
    <x v="2"/>
    <n v="4976.05"/>
    <n v="976.05000000000018"/>
    <n v="0.24401250000000005"/>
    <m/>
  </r>
  <r>
    <x v="5"/>
    <x v="3"/>
    <n v="1741"/>
    <n v="359"/>
    <n v="8.9192546583850937E-2"/>
    <m/>
  </r>
  <r>
    <x v="5"/>
    <x v="4"/>
    <n v="1070"/>
    <e v="#N/A"/>
    <e v="#N/A"/>
    <m/>
  </r>
  <r>
    <x v="5"/>
    <x v="5"/>
    <n v="169"/>
    <e v="#N/A"/>
    <e v="#N/A"/>
    <m/>
  </r>
  <r>
    <x v="5"/>
    <x v="6"/>
    <n v="110"/>
    <e v="#N/A"/>
    <e v="#N/A"/>
    <m/>
  </r>
  <r>
    <x v="5"/>
    <x v="7"/>
    <n v="4024"/>
    <n v="4024"/>
    <e v="#DIV/0!"/>
    <m/>
  </r>
  <r>
    <x v="6"/>
    <x v="1"/>
    <n v="15462"/>
    <n v="3462"/>
    <n v="0.28849999999999998"/>
    <m/>
  </r>
  <r>
    <x v="6"/>
    <x v="2"/>
    <n v="5022"/>
    <n v="1022"/>
    <n v="0.2555"/>
    <m/>
  </r>
  <r>
    <x v="6"/>
    <x v="3"/>
    <n v="2225.0100000000002"/>
    <n v="843.01000000000022"/>
    <n v="0.20944347826086962"/>
    <m/>
  </r>
  <r>
    <x v="6"/>
    <x v="4"/>
    <n v="969"/>
    <e v="#N/A"/>
    <e v="#N/A"/>
    <m/>
  </r>
  <r>
    <x v="6"/>
    <x v="5"/>
    <n v="120"/>
    <e v="#N/A"/>
    <e v="#N/A"/>
    <m/>
  </r>
  <r>
    <x v="6"/>
    <x v="6"/>
    <n v="0"/>
    <e v="#N/A"/>
    <e v="#N/A"/>
    <m/>
  </r>
  <r>
    <x v="6"/>
    <x v="7"/>
    <n v="4205"/>
    <n v="4205"/>
    <e v="#DIV/0!"/>
    <m/>
  </r>
  <r>
    <x v="7"/>
    <x v="1"/>
    <n v="15346"/>
    <n v="3346"/>
    <n v="0.27883333333333332"/>
    <m/>
  </r>
  <r>
    <x v="7"/>
    <x v="2"/>
    <n v="4525"/>
    <n v="525"/>
    <n v="0.13125000000000001"/>
    <m/>
  </r>
  <r>
    <x v="7"/>
    <x v="3"/>
    <n v="2250"/>
    <n v="868"/>
    <n v="0.21565217391304348"/>
    <m/>
  </r>
  <r>
    <x v="7"/>
    <x v="4"/>
    <n v="983"/>
    <e v="#N/A"/>
    <e v="#N/A"/>
    <m/>
  </r>
  <r>
    <x v="7"/>
    <x v="5"/>
    <n v="50"/>
    <e v="#N/A"/>
    <e v="#N/A"/>
    <m/>
  </r>
  <r>
    <x v="7"/>
    <x v="6"/>
    <n v="0"/>
    <e v="#N/A"/>
    <e v="#N/A"/>
    <m/>
  </r>
  <r>
    <x v="7"/>
    <x v="7"/>
    <n v="2798"/>
    <n v="2798"/>
    <e v="#DIV/0!"/>
    <m/>
  </r>
  <r>
    <x v="8"/>
    <x v="1"/>
    <n v="15301"/>
    <n v="3301"/>
    <n v="0.27508333333333335"/>
    <m/>
  </r>
  <r>
    <x v="8"/>
    <x v="2"/>
    <n v="4370"/>
    <n v="370"/>
    <n v="9.2499999999999999E-2"/>
    <m/>
  </r>
  <r>
    <x v="8"/>
    <x v="3"/>
    <n v="1890"/>
    <n v="508"/>
    <n v="0.12621118012422361"/>
    <m/>
  </r>
  <r>
    <x v="8"/>
    <x v="4"/>
    <n v="1193"/>
    <e v="#N/A"/>
    <e v="#N/A"/>
    <m/>
  </r>
  <r>
    <x v="8"/>
    <x v="5"/>
    <n v="50"/>
    <e v="#N/A"/>
    <e v="#N/A"/>
    <m/>
  </r>
  <r>
    <x v="8"/>
    <x v="6"/>
    <n v="339"/>
    <e v="#N/A"/>
    <e v="#N/A"/>
    <m/>
  </r>
  <r>
    <x v="8"/>
    <x v="7"/>
    <n v="1742"/>
    <n v="1742"/>
    <e v="#DIV/0!"/>
    <m/>
  </r>
  <r>
    <x v="9"/>
    <x v="1"/>
    <n v="15259"/>
    <n v="3259"/>
    <n v="0.27158333333333334"/>
    <m/>
  </r>
  <r>
    <x v="9"/>
    <x v="2"/>
    <n v="4254"/>
    <n v="254"/>
    <n v="6.3500000000000001E-2"/>
    <m/>
  </r>
  <r>
    <x v="9"/>
    <x v="3"/>
    <n v="2000"/>
    <n v="618"/>
    <n v="0.15354037267080745"/>
    <m/>
  </r>
  <r>
    <x v="9"/>
    <x v="4"/>
    <n v="1500"/>
    <e v="#N/A"/>
    <e v="#N/A"/>
    <m/>
  </r>
  <r>
    <x v="9"/>
    <x v="5"/>
    <n v="45"/>
    <e v="#N/A"/>
    <e v="#N/A"/>
    <m/>
  </r>
  <r>
    <x v="9"/>
    <x v="6"/>
    <n v="0"/>
    <e v="#N/A"/>
    <e v="#N/A"/>
    <m/>
  </r>
  <r>
    <x v="9"/>
    <x v="7"/>
    <n v="1135"/>
    <n v="1135"/>
    <e v="#DIV/0!"/>
    <m/>
  </r>
  <r>
    <x v="10"/>
    <x v="1"/>
    <n v="15234"/>
    <n v="3234"/>
    <n v="0.26950000000000002"/>
    <m/>
  </r>
  <r>
    <x v="10"/>
    <x v="2"/>
    <n v="4274.6000000000004"/>
    <n v="274.60000000000036"/>
    <n v="6.8650000000000086E-2"/>
    <m/>
  </r>
  <r>
    <x v="10"/>
    <x v="3"/>
    <n v="2152"/>
    <n v="770"/>
    <n v="0.19130434782608696"/>
    <m/>
  </r>
  <r>
    <x v="10"/>
    <x v="4"/>
    <n v="1147.8800000000001"/>
    <e v="#N/A"/>
    <e v="#N/A"/>
    <m/>
  </r>
  <r>
    <x v="10"/>
    <x v="5"/>
    <n v="1.92"/>
    <e v="#N/A"/>
    <e v="#N/A"/>
    <m/>
  </r>
  <r>
    <x v="10"/>
    <x v="6"/>
    <n v="-408.77"/>
    <e v="#N/A"/>
    <e v="#N/A"/>
    <m/>
  </r>
  <r>
    <x v="10"/>
    <x v="7"/>
    <n v="635"/>
    <n v="635"/>
    <e v="#DIV/0!"/>
    <m/>
  </r>
  <r>
    <x v="11"/>
    <x v="1"/>
    <n v="14924.24"/>
    <n v="2924.24"/>
    <n v="0.24368666666666663"/>
    <m/>
  </r>
  <r>
    <x v="11"/>
    <x v="2"/>
    <n v="0"/>
    <n v="-4000"/>
    <n v="-1"/>
    <m/>
  </r>
  <r>
    <x v="11"/>
    <x v="3"/>
    <n v="2271.64"/>
    <n v="889.63999999999987"/>
    <n v="0.22102857142857141"/>
    <m/>
  </r>
  <r>
    <x v="11"/>
    <x v="4"/>
    <n v="1897.69"/>
    <e v="#N/A"/>
    <e v="#N/A"/>
    <m/>
  </r>
  <r>
    <x v="11"/>
    <x v="5"/>
    <n v="7"/>
    <e v="#N/A"/>
    <e v="#N/A"/>
    <m/>
  </r>
  <r>
    <x v="11"/>
    <x v="6"/>
    <n v="0"/>
    <e v="#N/A"/>
    <e v="#N/A"/>
    <m/>
  </r>
  <r>
    <x v="11"/>
    <x v="7"/>
    <n v="4832.2299999999996"/>
    <n v="4832.2299999999996"/>
    <e v="#DIV/0!"/>
    <m/>
  </r>
  <r>
    <x v="12"/>
    <x v="1"/>
    <n v="13883"/>
    <n v="1883"/>
    <n v="0.15691666666666668"/>
    <s v="LISA Switched to Moneybox"/>
  </r>
  <r>
    <x v="12"/>
    <x v="2"/>
    <n v="5331.77"/>
    <n v="1331.7700000000004"/>
    <n v="0.33294250000000009"/>
    <s v="S&amp;S ISA switched to T212"/>
  </r>
  <r>
    <x v="12"/>
    <x v="3"/>
    <n v="2105"/>
    <n v="723"/>
    <n v="0.17962732919254659"/>
    <m/>
  </r>
  <r>
    <x v="12"/>
    <x v="4"/>
    <n v="1472"/>
    <e v="#N/A"/>
    <e v="#N/A"/>
    <m/>
  </r>
  <r>
    <x v="12"/>
    <x v="5"/>
    <n v="20"/>
    <e v="#N/A"/>
    <e v="#N/A"/>
    <m/>
  </r>
  <r>
    <x v="12"/>
    <x v="6"/>
    <n v="0"/>
    <e v="#N/A"/>
    <e v="#N/A"/>
    <m/>
  </r>
  <r>
    <x v="12"/>
    <x v="7"/>
    <n v="426"/>
    <n v="426"/>
    <e v="#DIV/0!"/>
    <m/>
  </r>
  <r>
    <x v="13"/>
    <x v="1"/>
    <n v="10043"/>
    <n v="-1957"/>
    <n v="-0.16308333333333333"/>
    <m/>
  </r>
  <r>
    <x v="13"/>
    <x v="2"/>
    <n v="5329"/>
    <n v="1329"/>
    <n v="0.33224999999999999"/>
    <m/>
  </r>
  <r>
    <x v="13"/>
    <x v="3"/>
    <n v="2668"/>
    <n v="1286"/>
    <n v="0.31950310559006212"/>
    <m/>
  </r>
  <r>
    <x v="13"/>
    <x v="4"/>
    <n v="3176"/>
    <e v="#N/A"/>
    <e v="#N/A"/>
    <m/>
  </r>
  <r>
    <x v="13"/>
    <x v="5"/>
    <n v="267"/>
    <e v="#N/A"/>
    <e v="#N/A"/>
    <m/>
  </r>
  <r>
    <x v="13"/>
    <x v="6"/>
    <n v="-575"/>
    <e v="#N/A"/>
    <e v="#N/A"/>
    <m/>
  </r>
  <r>
    <x v="13"/>
    <x v="7"/>
    <n v="2304"/>
    <n v="2304"/>
    <e v="#DIV/0!"/>
    <m/>
  </r>
  <r>
    <x v="14"/>
    <x v="1"/>
    <n v="9943"/>
    <n v="-2057"/>
    <n v="-0.17141666666666666"/>
    <m/>
  </r>
  <r>
    <x v="14"/>
    <x v="2"/>
    <n v="5229"/>
    <n v="1229"/>
    <n v="0.30725000000000002"/>
    <m/>
  </r>
  <r>
    <x v="14"/>
    <x v="3"/>
    <n v="2568"/>
    <n v="1186"/>
    <n v="0.29465838509316772"/>
    <m/>
  </r>
  <r>
    <x v="14"/>
    <x v="4"/>
    <n v="3076"/>
    <e v="#N/A"/>
    <e v="#N/A"/>
    <m/>
  </r>
  <r>
    <x v="14"/>
    <x v="5"/>
    <n v="167"/>
    <e v="#N/A"/>
    <e v="#N/A"/>
    <m/>
  </r>
  <r>
    <x v="14"/>
    <x v="6"/>
    <n v="-675"/>
    <e v="#N/A"/>
    <e v="#N/A"/>
    <m/>
  </r>
  <r>
    <x v="14"/>
    <x v="7"/>
    <n v="2204"/>
    <n v="2204"/>
    <e v="#DI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EA2652-6ACD-CA4D-BE14-D4F048D46656}"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42:J59" firstHeaderRow="1" firstDataRow="2" firstDataCol="1"/>
  <pivotFields count="6">
    <pivotField axis="axisRow" numFmtId="14" showAll="0">
      <items count="17">
        <item x="14"/>
        <item x="13"/>
        <item x="12"/>
        <item x="11"/>
        <item x="10"/>
        <item x="9"/>
        <item m="1" x="15"/>
        <item x="8"/>
        <item x="7"/>
        <item x="6"/>
        <item x="5"/>
        <item x="4"/>
        <item x="3"/>
        <item x="2"/>
        <item x="1"/>
        <item x="0"/>
        <item t="default"/>
      </items>
    </pivotField>
    <pivotField axis="axisCol" showAll="0">
      <items count="11">
        <item x="6"/>
        <item x="3"/>
        <item x="5"/>
        <item x="7"/>
        <item x="4"/>
        <item m="1" x="9"/>
        <item m="1" x="8"/>
        <item x="1"/>
        <item x="2"/>
        <item x="0"/>
        <item t="default"/>
      </items>
    </pivotField>
    <pivotField dataField="1" numFmtId="165" showAll="0"/>
    <pivotField showAll="0"/>
    <pivotField showAll="0"/>
    <pivotField showAll="0"/>
  </pivotFields>
  <rowFields count="1">
    <field x="0"/>
  </rowFields>
  <rowItems count="16">
    <i>
      <x/>
    </i>
    <i>
      <x v="1"/>
    </i>
    <i>
      <x v="2"/>
    </i>
    <i>
      <x v="3"/>
    </i>
    <i>
      <x v="4"/>
    </i>
    <i>
      <x v="5"/>
    </i>
    <i>
      <x v="7"/>
    </i>
    <i>
      <x v="8"/>
    </i>
    <i>
      <x v="9"/>
    </i>
    <i>
      <x v="10"/>
    </i>
    <i>
      <x v="11"/>
    </i>
    <i>
      <x v="12"/>
    </i>
    <i>
      <x v="13"/>
    </i>
    <i>
      <x v="14"/>
    </i>
    <i>
      <x v="15"/>
    </i>
    <i t="grand">
      <x/>
    </i>
  </rowItems>
  <colFields count="1">
    <field x="1"/>
  </colFields>
  <colItems count="9">
    <i>
      <x/>
    </i>
    <i>
      <x v="1"/>
    </i>
    <i>
      <x v="2"/>
    </i>
    <i>
      <x v="3"/>
    </i>
    <i>
      <x v="4"/>
    </i>
    <i>
      <x v="7"/>
    </i>
    <i>
      <x v="8"/>
    </i>
    <i>
      <x v="9"/>
    </i>
    <i t="grand">
      <x/>
    </i>
  </colItems>
  <dataFields count="1">
    <dataField name="Sum of Amount" fld="2" baseField="0" baseItem="0" numFmtId="165"/>
  </dataFields>
  <formats count="22">
    <format dxfId="94">
      <pivotArea type="all" dataOnly="0" outline="0" fieldPosition="0"/>
    </format>
    <format dxfId="93">
      <pivotArea outline="0" collapsedLevelsAreSubtotals="1" fieldPosition="0"/>
    </format>
    <format dxfId="92">
      <pivotArea type="origin" dataOnly="0" labelOnly="1" outline="0" fieldPosition="0"/>
    </format>
    <format dxfId="91">
      <pivotArea field="1" type="button" dataOnly="0" labelOnly="1" outline="0" axis="axisCol" fieldPosition="0"/>
    </format>
    <format dxfId="90">
      <pivotArea type="topRight" dataOnly="0" labelOnly="1" outline="0" fieldPosition="0"/>
    </format>
    <format dxfId="89">
      <pivotArea field="0" type="button" dataOnly="0" labelOnly="1" outline="0" axis="axisRow" fieldPosition="0"/>
    </format>
    <format dxfId="88">
      <pivotArea dataOnly="0" labelOnly="1" fieldPosition="0">
        <references count="1">
          <reference field="0" count="0"/>
        </references>
      </pivotArea>
    </format>
    <format dxfId="87">
      <pivotArea dataOnly="0" labelOnly="1" grandRow="1" outline="0" fieldPosition="0"/>
    </format>
    <format dxfId="86">
      <pivotArea dataOnly="0" labelOnly="1" fieldPosition="0">
        <references count="1">
          <reference field="1" count="0"/>
        </references>
      </pivotArea>
    </format>
    <format dxfId="85">
      <pivotArea dataOnly="0" labelOnly="1" grandCol="1" outline="0" fieldPosition="0"/>
    </format>
    <format dxfId="84">
      <pivotArea type="all" dataOnly="0" outline="0" fieldPosition="0"/>
    </format>
    <format dxfId="83">
      <pivotArea outline="0" collapsedLevelsAreSubtotals="1" fieldPosition="0"/>
    </format>
    <format dxfId="82">
      <pivotArea type="origin" dataOnly="0" labelOnly="1" outline="0" fieldPosition="0"/>
    </format>
    <format dxfId="81">
      <pivotArea field="1" type="button" dataOnly="0" labelOnly="1" outline="0" axis="axisCol" fieldPosition="0"/>
    </format>
    <format dxfId="80">
      <pivotArea type="topRight" dataOnly="0" labelOnly="1" outline="0" fieldPosition="0"/>
    </format>
    <format dxfId="79">
      <pivotArea field="0" type="button" dataOnly="0" labelOnly="1" outline="0" axis="axisRow" fieldPosition="0"/>
    </format>
    <format dxfId="78">
      <pivotArea dataOnly="0" labelOnly="1" fieldPosition="0">
        <references count="1">
          <reference field="0" count="0"/>
        </references>
      </pivotArea>
    </format>
    <format dxfId="77">
      <pivotArea dataOnly="0" labelOnly="1" grandRow="1" outline="0" fieldPosition="0"/>
    </format>
    <format dxfId="76">
      <pivotArea dataOnly="0" labelOnly="1" fieldPosition="0">
        <references count="1">
          <reference field="1" count="0"/>
        </references>
      </pivotArea>
    </format>
    <format dxfId="75">
      <pivotArea dataOnly="0" labelOnly="1" grandCol="1" outline="0" fieldPosition="0"/>
    </format>
    <format dxfId="74">
      <pivotArea dataOnly="0" labelOnly="1" fieldPosition="0">
        <references count="1">
          <reference field="0" count="0"/>
        </references>
      </pivotArea>
    </format>
    <format dxfId="73">
      <pivotArea dataOnly="0" labelOnly="1" grandRow="1" outline="0" fieldPosition="0"/>
    </format>
  </formats>
  <chartFormats count="32">
    <chartFormat chart="0" format="0" series="1">
      <pivotArea type="data" outline="0" fieldPosition="0">
        <references count="1">
          <reference field="4294967294" count="1" selected="0">
            <x v="0"/>
          </reference>
        </references>
      </pivotArea>
    </chartFormat>
    <chartFormat chart="0" format="8" series="1">
      <pivotArea type="data" outline="0" fieldPosition="0">
        <references count="2">
          <reference field="4294967294" count="1" selected="0">
            <x v="0"/>
          </reference>
          <reference field="1" count="1" selected="0">
            <x v="2"/>
          </reference>
        </references>
      </pivotArea>
    </chartFormat>
    <chartFormat chart="0" format="9" series="1">
      <pivotArea type="data" outline="0" fieldPosition="0">
        <references count="2">
          <reference field="4294967294" count="1" selected="0">
            <x v="0"/>
          </reference>
          <reference field="1" count="1" selected="0">
            <x v="3"/>
          </reference>
        </references>
      </pivotArea>
    </chartFormat>
    <chartFormat chart="0" format="10" series="1">
      <pivotArea type="data" outline="0" fieldPosition="0">
        <references count="2">
          <reference field="4294967294" count="1" selected="0">
            <x v="0"/>
          </reference>
          <reference field="1" count="1" selected="0">
            <x v="4"/>
          </reference>
        </references>
      </pivotArea>
    </chartFormat>
    <chartFormat chart="0" format="11" series="1">
      <pivotArea type="data" outline="0" fieldPosition="0">
        <references count="2">
          <reference field="4294967294" count="1" selected="0">
            <x v="0"/>
          </reference>
          <reference field="1" count="1" selected="0">
            <x v="5"/>
          </reference>
        </references>
      </pivotArea>
    </chartFormat>
    <chartFormat chart="0" format="12" series="1">
      <pivotArea type="data" outline="0" fieldPosition="0">
        <references count="2">
          <reference field="4294967294" count="1" selected="0">
            <x v="0"/>
          </reference>
          <reference field="1" count="1" selected="0">
            <x v="6"/>
          </reference>
        </references>
      </pivotArea>
    </chartFormat>
    <chartFormat chart="0" format="13" series="1">
      <pivotArea type="data" outline="0" fieldPosition="0">
        <references count="2">
          <reference field="4294967294" count="1" selected="0">
            <x v="0"/>
          </reference>
          <reference field="1" count="1" selected="0">
            <x v="1"/>
          </reference>
        </references>
      </pivotArea>
    </chartFormat>
    <chartFormat chart="0" format="14" series="1">
      <pivotArea type="data" outline="0" fieldPosition="0">
        <references count="2">
          <reference field="4294967294" count="1" selected="0">
            <x v="0"/>
          </reference>
          <reference field="1" count="1" selected="0">
            <x v="0"/>
          </reference>
        </references>
      </pivotArea>
    </chartFormat>
    <chartFormat chart="0" format="15" series="1">
      <pivotArea type="data" outline="0" fieldPosition="0">
        <references count="2">
          <reference field="4294967294" count="1" selected="0">
            <x v="0"/>
          </reference>
          <reference field="1" count="1" selected="0">
            <x v="7"/>
          </reference>
        </references>
      </pivotArea>
    </chartFormat>
    <chartFormat chart="8" format="0" series="1">
      <pivotArea type="data" outline="0" fieldPosition="0">
        <references count="2">
          <reference field="4294967294" count="1" selected="0">
            <x v="0"/>
          </reference>
          <reference field="1" count="1" selected="0">
            <x v="0"/>
          </reference>
        </references>
      </pivotArea>
    </chartFormat>
    <chartFormat chart="8" format="1" series="1">
      <pivotArea type="data" outline="0" fieldPosition="0">
        <references count="2">
          <reference field="4294967294" count="1" selected="0">
            <x v="0"/>
          </reference>
          <reference field="1" count="1" selected="0">
            <x v="1"/>
          </reference>
        </references>
      </pivotArea>
    </chartFormat>
    <chartFormat chart="8" format="2" series="1">
      <pivotArea type="data" outline="0" fieldPosition="0">
        <references count="2">
          <reference field="4294967294" count="1" selected="0">
            <x v="0"/>
          </reference>
          <reference field="1" count="1" selected="0">
            <x v="2"/>
          </reference>
        </references>
      </pivotArea>
    </chartFormat>
    <chartFormat chart="8" format="3" series="1">
      <pivotArea type="data" outline="0" fieldPosition="0">
        <references count="2">
          <reference field="4294967294" count="1" selected="0">
            <x v="0"/>
          </reference>
          <reference field="1" count="1" selected="0">
            <x v="3"/>
          </reference>
        </references>
      </pivotArea>
    </chartFormat>
    <chartFormat chart="8" format="4" series="1">
      <pivotArea type="data" outline="0" fieldPosition="0">
        <references count="2">
          <reference field="4294967294" count="1" selected="0">
            <x v="0"/>
          </reference>
          <reference field="1" count="1" selected="0">
            <x v="4"/>
          </reference>
        </references>
      </pivotArea>
    </chartFormat>
    <chartFormat chart="8" format="5" series="1">
      <pivotArea type="data" outline="0" fieldPosition="0">
        <references count="2">
          <reference field="4294967294" count="1" selected="0">
            <x v="0"/>
          </reference>
          <reference field="1" count="1" selected="0">
            <x v="6"/>
          </reference>
        </references>
      </pivotArea>
    </chartFormat>
    <chartFormat chart="8" format="6" series="1">
      <pivotArea type="data" outline="0" fieldPosition="0">
        <references count="2">
          <reference field="4294967294" count="1" selected="0">
            <x v="0"/>
          </reference>
          <reference field="1" count="1" selected="0">
            <x v="7"/>
          </reference>
        </references>
      </pivotArea>
    </chartFormat>
    <chartFormat chart="11" format="7" series="1">
      <pivotArea type="data" outline="0" fieldPosition="0">
        <references count="2">
          <reference field="4294967294" count="1" selected="0">
            <x v="0"/>
          </reference>
          <reference field="1" count="1" selected="0">
            <x v="0"/>
          </reference>
        </references>
      </pivotArea>
    </chartFormat>
    <chartFormat chart="11" format="8" series="1">
      <pivotArea type="data" outline="0" fieldPosition="0">
        <references count="2">
          <reference field="4294967294" count="1" selected="0">
            <x v="0"/>
          </reference>
          <reference field="1" count="1" selected="0">
            <x v="1"/>
          </reference>
        </references>
      </pivotArea>
    </chartFormat>
    <chartFormat chart="11" format="9" series="1">
      <pivotArea type="data" outline="0" fieldPosition="0">
        <references count="2">
          <reference field="4294967294" count="1" selected="0">
            <x v="0"/>
          </reference>
          <reference field="1" count="1" selected="0">
            <x v="2"/>
          </reference>
        </references>
      </pivotArea>
    </chartFormat>
    <chartFormat chart="11" format="10" series="1">
      <pivotArea type="data" outline="0" fieldPosition="0">
        <references count="2">
          <reference field="4294967294" count="1" selected="0">
            <x v="0"/>
          </reference>
          <reference field="1" count="1" selected="0">
            <x v="3"/>
          </reference>
        </references>
      </pivotArea>
    </chartFormat>
    <chartFormat chart="11" format="11" series="1">
      <pivotArea type="data" outline="0" fieldPosition="0">
        <references count="2">
          <reference field="4294967294" count="1" selected="0">
            <x v="0"/>
          </reference>
          <reference field="1" count="1" selected="0">
            <x v="4"/>
          </reference>
        </references>
      </pivotArea>
    </chartFormat>
    <chartFormat chart="11" format="12" series="1">
      <pivotArea type="data" outline="0" fieldPosition="0">
        <references count="2">
          <reference field="4294967294" count="1" selected="0">
            <x v="0"/>
          </reference>
          <reference field="1" count="1" selected="0">
            <x v="6"/>
          </reference>
        </references>
      </pivotArea>
    </chartFormat>
    <chartFormat chart="11" format="13" series="1">
      <pivotArea type="data" outline="0" fieldPosition="0">
        <references count="2">
          <reference field="4294967294" count="1" selected="0">
            <x v="0"/>
          </reference>
          <reference field="1" count="1" selected="0">
            <x v="7"/>
          </reference>
        </references>
      </pivotArea>
    </chartFormat>
    <chartFormat chart="12" format="14" series="1">
      <pivotArea type="data" outline="0" fieldPosition="0">
        <references count="2">
          <reference field="4294967294" count="1" selected="0">
            <x v="0"/>
          </reference>
          <reference field="1" count="1" selected="0">
            <x v="0"/>
          </reference>
        </references>
      </pivotArea>
    </chartFormat>
    <chartFormat chart="12" format="15" series="1">
      <pivotArea type="data" outline="0" fieldPosition="0">
        <references count="2">
          <reference field="4294967294" count="1" selected="0">
            <x v="0"/>
          </reference>
          <reference field="1" count="1" selected="0">
            <x v="1"/>
          </reference>
        </references>
      </pivotArea>
    </chartFormat>
    <chartFormat chart="12" format="16" series="1">
      <pivotArea type="data" outline="0" fieldPosition="0">
        <references count="2">
          <reference field="4294967294" count="1" selected="0">
            <x v="0"/>
          </reference>
          <reference field="1" count="1" selected="0">
            <x v="2"/>
          </reference>
        </references>
      </pivotArea>
    </chartFormat>
    <chartFormat chart="12" format="17" series="1">
      <pivotArea type="data" outline="0" fieldPosition="0">
        <references count="2">
          <reference field="4294967294" count="1" selected="0">
            <x v="0"/>
          </reference>
          <reference field="1" count="1" selected="0">
            <x v="3"/>
          </reference>
        </references>
      </pivotArea>
    </chartFormat>
    <chartFormat chart="12" format="18" series="1">
      <pivotArea type="data" outline="0" fieldPosition="0">
        <references count="2">
          <reference field="4294967294" count="1" selected="0">
            <x v="0"/>
          </reference>
          <reference field="1" count="1" selected="0">
            <x v="4"/>
          </reference>
        </references>
      </pivotArea>
    </chartFormat>
    <chartFormat chart="12" format="19" series="1">
      <pivotArea type="data" outline="0" fieldPosition="0">
        <references count="2">
          <reference field="4294967294" count="1" selected="0">
            <x v="0"/>
          </reference>
          <reference field="1" count="1" selected="0">
            <x v="6"/>
          </reference>
        </references>
      </pivotArea>
    </chartFormat>
    <chartFormat chart="12" format="20" series="1">
      <pivotArea type="data" outline="0" fieldPosition="0">
        <references count="2">
          <reference field="4294967294" count="1" selected="0">
            <x v="0"/>
          </reference>
          <reference field="1" count="1" selected="0">
            <x v="7"/>
          </reference>
        </references>
      </pivotArea>
    </chartFormat>
    <chartFormat chart="0" format="16" series="1">
      <pivotArea type="data" outline="0" fieldPosition="0">
        <references count="2">
          <reference field="4294967294" count="1" selected="0">
            <x v="0"/>
          </reference>
          <reference field="1" count="1" selected="0">
            <x v="8"/>
          </reference>
        </references>
      </pivotArea>
    </chartFormat>
    <chartFormat chart="0" format="18" series="1">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731C36-AAF4-4D47-AE4A-9BE015244128}"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L42:U59" firstHeaderRow="1" firstDataRow="2" firstDataCol="1"/>
  <pivotFields count="6">
    <pivotField axis="axisRow" numFmtId="14" showAll="0">
      <items count="17">
        <item x="14"/>
        <item x="13"/>
        <item x="12"/>
        <item x="11"/>
        <item x="10"/>
        <item x="9"/>
        <item m="1" x="15"/>
        <item x="8"/>
        <item x="7"/>
        <item x="6"/>
        <item x="5"/>
        <item x="4"/>
        <item x="3"/>
        <item x="2"/>
        <item x="1"/>
        <item x="0"/>
        <item t="default"/>
      </items>
    </pivotField>
    <pivotField axis="axisCol" showAll="0">
      <items count="11">
        <item x="6"/>
        <item x="3"/>
        <item x="5"/>
        <item x="7"/>
        <item x="4"/>
        <item m="1" x="9"/>
        <item m="1" x="8"/>
        <item x="1"/>
        <item x="2"/>
        <item x="0"/>
        <item t="default"/>
      </items>
    </pivotField>
    <pivotField dataField="1" numFmtId="165" showAll="0"/>
    <pivotField showAll="0"/>
    <pivotField showAll="0"/>
    <pivotField showAll="0"/>
  </pivotFields>
  <rowFields count="1">
    <field x="0"/>
  </rowFields>
  <rowItems count="16">
    <i>
      <x/>
    </i>
    <i>
      <x v="1"/>
    </i>
    <i>
      <x v="2"/>
    </i>
    <i>
      <x v="3"/>
    </i>
    <i>
      <x v="4"/>
    </i>
    <i>
      <x v="5"/>
    </i>
    <i>
      <x v="7"/>
    </i>
    <i>
      <x v="8"/>
    </i>
    <i>
      <x v="9"/>
    </i>
    <i>
      <x v="10"/>
    </i>
    <i>
      <x v="11"/>
    </i>
    <i>
      <x v="12"/>
    </i>
    <i>
      <x v="13"/>
    </i>
    <i>
      <x v="14"/>
    </i>
    <i>
      <x v="15"/>
    </i>
    <i t="grand">
      <x/>
    </i>
  </rowItems>
  <colFields count="1">
    <field x="1"/>
  </colFields>
  <colItems count="9">
    <i>
      <x/>
    </i>
    <i>
      <x v="1"/>
    </i>
    <i>
      <x v="2"/>
    </i>
    <i>
      <x v="3"/>
    </i>
    <i>
      <x v="4"/>
    </i>
    <i>
      <x v="7"/>
    </i>
    <i>
      <x v="8"/>
    </i>
    <i>
      <x v="9"/>
    </i>
    <i t="grand">
      <x/>
    </i>
  </colItems>
  <dataFields count="1">
    <dataField name="Sum of Amount" fld="2" baseField="0" baseItem="0" numFmtId="165"/>
  </dataFields>
  <formats count="20">
    <format dxfId="114">
      <pivotArea type="all" dataOnly="0" outline="0" fieldPosition="0"/>
    </format>
    <format dxfId="113">
      <pivotArea outline="0" collapsedLevelsAreSubtotals="1" fieldPosition="0"/>
    </format>
    <format dxfId="112">
      <pivotArea type="origin" dataOnly="0" labelOnly="1" outline="0" fieldPosition="0"/>
    </format>
    <format dxfId="111">
      <pivotArea field="1" type="button" dataOnly="0" labelOnly="1" outline="0" axis="axisCol" fieldPosition="0"/>
    </format>
    <format dxfId="110">
      <pivotArea type="topRight" dataOnly="0" labelOnly="1" outline="0" fieldPosition="0"/>
    </format>
    <format dxfId="109">
      <pivotArea field="0" type="button" dataOnly="0" labelOnly="1" outline="0" axis="axisRow" fieldPosition="0"/>
    </format>
    <format dxfId="108">
      <pivotArea dataOnly="0" labelOnly="1" fieldPosition="0">
        <references count="1">
          <reference field="0" count="0"/>
        </references>
      </pivotArea>
    </format>
    <format dxfId="107">
      <pivotArea dataOnly="0" labelOnly="1" grandRow="1" outline="0" fieldPosition="0"/>
    </format>
    <format dxfId="106">
      <pivotArea dataOnly="0" labelOnly="1" fieldPosition="0">
        <references count="1">
          <reference field="1" count="0"/>
        </references>
      </pivotArea>
    </format>
    <format dxfId="105">
      <pivotArea dataOnly="0" labelOnly="1" grandCol="1" outline="0" fieldPosition="0"/>
    </format>
    <format dxfId="104">
      <pivotArea type="all" dataOnly="0" outline="0" fieldPosition="0"/>
    </format>
    <format dxfId="103">
      <pivotArea outline="0" collapsedLevelsAreSubtotals="1" fieldPosition="0"/>
    </format>
    <format dxfId="102">
      <pivotArea type="origin" dataOnly="0" labelOnly="1" outline="0" fieldPosition="0"/>
    </format>
    <format dxfId="101">
      <pivotArea field="1" type="button" dataOnly="0" labelOnly="1" outline="0" axis="axisCol" fieldPosition="0"/>
    </format>
    <format dxfId="100">
      <pivotArea type="topRight" dataOnly="0" labelOnly="1" outline="0" fieldPosition="0"/>
    </format>
    <format dxfId="99">
      <pivotArea field="0" type="button" dataOnly="0" labelOnly="1" outline="0" axis="axisRow" fieldPosition="0"/>
    </format>
    <format dxfId="98">
      <pivotArea dataOnly="0" labelOnly="1" fieldPosition="0">
        <references count="1">
          <reference field="0" count="0"/>
        </references>
      </pivotArea>
    </format>
    <format dxfId="97">
      <pivotArea dataOnly="0" labelOnly="1" grandRow="1" outline="0" fieldPosition="0"/>
    </format>
    <format dxfId="96">
      <pivotArea dataOnly="0" labelOnly="1" fieldPosition="0">
        <references count="1">
          <reference field="1" count="0"/>
        </references>
      </pivotArea>
    </format>
    <format dxfId="95">
      <pivotArea dataOnly="0" labelOnly="1" grandCol="1" outline="0" fieldPosition="0"/>
    </format>
  </formats>
  <chartFormats count="10">
    <chartFormat chart="0" format="21" series="1">
      <pivotArea type="data" outline="0" fieldPosition="0">
        <references count="2">
          <reference field="4294967294" count="1" selected="0">
            <x v="0"/>
          </reference>
          <reference field="1" count="1" selected="0">
            <x v="0"/>
          </reference>
        </references>
      </pivotArea>
    </chartFormat>
    <chartFormat chart="0" format="22" series="1">
      <pivotArea type="data" outline="0" fieldPosition="0">
        <references count="2">
          <reference field="4294967294" count="1" selected="0">
            <x v="0"/>
          </reference>
          <reference field="1" count="1" selected="0">
            <x v="1"/>
          </reference>
        </references>
      </pivotArea>
    </chartFormat>
    <chartFormat chart="0" format="23" series="1">
      <pivotArea type="data" outline="0" fieldPosition="0">
        <references count="2">
          <reference field="4294967294" count="1" selected="0">
            <x v="0"/>
          </reference>
          <reference field="1" count="1" selected="0">
            <x v="2"/>
          </reference>
        </references>
      </pivotArea>
    </chartFormat>
    <chartFormat chart="0" format="24" series="1">
      <pivotArea type="data" outline="0" fieldPosition="0">
        <references count="2">
          <reference field="4294967294" count="1" selected="0">
            <x v="0"/>
          </reference>
          <reference field="1" count="1" selected="0">
            <x v="3"/>
          </reference>
        </references>
      </pivotArea>
    </chartFormat>
    <chartFormat chart="0" format="25" series="1">
      <pivotArea type="data" outline="0" fieldPosition="0">
        <references count="2">
          <reference field="4294967294" count="1" selected="0">
            <x v="0"/>
          </reference>
          <reference field="1" count="1" selected="0">
            <x v="4"/>
          </reference>
        </references>
      </pivotArea>
    </chartFormat>
    <chartFormat chart="0" format="26" series="1">
      <pivotArea type="data" outline="0" fieldPosition="0">
        <references count="2">
          <reference field="4294967294" count="1" selected="0">
            <x v="0"/>
          </reference>
          <reference field="1" count="1" selected="0">
            <x v="6"/>
          </reference>
        </references>
      </pivotArea>
    </chartFormat>
    <chartFormat chart="0" format="27" series="1">
      <pivotArea type="data" outline="0" fieldPosition="0">
        <references count="2">
          <reference field="4294967294" count="1" selected="0">
            <x v="0"/>
          </reference>
          <reference field="1" count="1" selected="0">
            <x v="7"/>
          </reference>
        </references>
      </pivotArea>
    </chartFormat>
    <chartFormat chart="0" format="28" series="1">
      <pivotArea type="data" outline="0" fieldPosition="0">
        <references count="2">
          <reference field="4294967294" count="1" selected="0">
            <x v="0"/>
          </reference>
          <reference field="1" count="1" selected="0">
            <x v="8"/>
          </reference>
        </references>
      </pivotArea>
    </chartFormat>
    <chartFormat chart="0" format="29" series="1">
      <pivotArea type="data" outline="0" fieldPosition="0">
        <references count="1">
          <reference field="4294967294" count="1" selected="0">
            <x v="0"/>
          </reference>
        </references>
      </pivotArea>
    </chartFormat>
    <chartFormat chart="0" format="31" series="1">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164770-E491-E34D-A7B3-EC324786776A}" name="PivotTable1"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123:B138" firstHeaderRow="1" firstDataRow="1" firstDataCol="1"/>
  <pivotFields count="6">
    <pivotField axis="axisRow" numFmtId="14" showAll="0">
      <items count="17">
        <item x="14"/>
        <item x="13"/>
        <item x="12"/>
        <item x="11"/>
        <item x="10"/>
        <item x="9"/>
        <item m="1" x="15"/>
        <item x="8"/>
        <item x="7"/>
        <item x="6"/>
        <item x="5"/>
        <item x="4"/>
        <item x="3"/>
        <item x="2"/>
        <item x="1"/>
        <item x="0"/>
        <item t="default"/>
      </items>
    </pivotField>
    <pivotField showAll="0"/>
    <pivotField dataField="1" numFmtId="165" showAll="0"/>
    <pivotField showAll="0"/>
    <pivotField showAll="0"/>
    <pivotField showAll="0"/>
  </pivotFields>
  <rowFields count="1">
    <field x="0"/>
  </rowFields>
  <rowItems count="15">
    <i>
      <x/>
    </i>
    <i>
      <x v="1"/>
    </i>
    <i>
      <x v="2"/>
    </i>
    <i>
      <x v="3"/>
    </i>
    <i>
      <x v="4"/>
    </i>
    <i>
      <x v="5"/>
    </i>
    <i>
      <x v="7"/>
    </i>
    <i>
      <x v="8"/>
    </i>
    <i>
      <x v="9"/>
    </i>
    <i>
      <x v="10"/>
    </i>
    <i>
      <x v="11"/>
    </i>
    <i>
      <x v="12"/>
    </i>
    <i>
      <x v="13"/>
    </i>
    <i>
      <x v="14"/>
    </i>
    <i>
      <x v="15"/>
    </i>
  </rowItems>
  <colItems count="1">
    <i/>
  </colItems>
  <dataFields count="1">
    <dataField name="Sum of Amount" fld="2" baseField="0" baseItem="0" numFmtId="165"/>
  </dataFields>
  <chartFormats count="4">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2" format="7">
      <pivotArea type="data" outline="0" fieldPosition="0">
        <references count="2">
          <reference field="4294967294" count="1" selected="0">
            <x v="0"/>
          </reference>
          <reference field="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 xr10:uid="{4E4D137B-E6C8-DE40-9EC1-8332DCA819F3}" sourceName="Account">
  <pivotTables>
    <pivotTable tabId="2" name="PivotTable2"/>
    <pivotTable tabId="2" name="PivotTable3"/>
  </pivotTables>
  <data>
    <tabular pivotCacheId="1138910677">
      <items count="10">
        <i x="0" s="1"/>
        <i x="6" s="1"/>
        <i x="3" s="1"/>
        <i x="5" s="1"/>
        <i x="1" s="1"/>
        <i x="7" s="1"/>
        <i x="4" s="1"/>
        <i x="2" s="1"/>
        <i x="9" s="1" nd="1"/>
        <i x="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xr10:uid="{BDEFC686-370B-A847-988B-70652DEF3D26}" cache="Slicer_Account" caption="Account" style="SlicerStyleLight3"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53772D-128E-2243-9E61-DB52FE181102}" name="Table1" displayName="Table1" ref="A11:F119" totalsRowShown="0">
  <autoFilter ref="A11:F119" xr:uid="{6253772D-128E-2243-9E61-DB52FE181102}"/>
  <tableColumns count="6">
    <tableColumn id="1" xr3:uid="{9DC4BD04-93DA-3241-9091-21595182F8E8}" name="Date" dataDxfId="72"/>
    <tableColumn id="5" xr3:uid="{A1B8557B-15CC-7B4C-B703-8B9215469E90}" name="Account" dataDxfId="71"/>
    <tableColumn id="2" xr3:uid="{26592834-CD7C-8949-A61B-E10B36F9C0B8}" name="Amount" dataDxfId="70"/>
    <tableColumn id="6" xr3:uid="{A832821D-C9B8-314F-8B81-E0006B849F29}" name="P/L" dataDxfId="69">
      <calculatedColumnFormula>Table1[[#This Row],[Amount]]-INDEX(Table2[], MATCH(Table1[[#This Row],[Account]],Table2[Account],0), 2) + INDEX(Table2[], MATCH(Table1[[#This Row],[Account]],Table2[Account],0), 3)</calculatedColumnFormula>
    </tableColumn>
    <tableColumn id="7" xr3:uid="{9ECD91B9-5883-224F-BD4D-7E842D3D932D}" name="PL (%)" dataCellStyle="Per cent">
      <calculatedColumnFormula>Table1[[#This Row],[P/L]]/INDEX(Table2[], MATCH(Table1[[#This Row],[Account]], Table2[Account],0),2)</calculatedColumnFormula>
    </tableColumn>
    <tableColumn id="4" xr3:uid="{92A15B57-C3C5-C549-85A9-448CBAFAC765}" name="Note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ED43190-6DA8-5E40-8709-4EFDBDBE6842}" name="Table2" displayName="Table2" ref="A2:D7" totalsRowShown="0">
  <autoFilter ref="A2:D7" xr:uid="{9ED43190-6DA8-5E40-8709-4EFDBDBE6842}"/>
  <tableColumns count="4">
    <tableColumn id="1" xr3:uid="{081FB863-0ADF-2A43-8B78-20EA0FC9B216}" name="Account"/>
    <tableColumn id="2" xr3:uid="{D701094F-E174-A54C-98B2-1000F3D59C66}" name="Invested" dataDxfId="68"/>
    <tableColumn id="3" xr3:uid="{09C696D4-C4EB-5E46-87BE-0127F8DD7F91}" name="Withdrawn" dataDxfId="67"/>
    <tableColumn id="4" xr3:uid="{AA35D741-C151-D74B-AF49-63FDF5F46D84}" name="Value" dataDxfId="66"/>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213E7E1-3B71-FE44-925E-08200BD7E8B9}" name="Spend" displayName="Spend" ref="B9:F19" totalsRowShown="0" headerRowDxfId="65" headerRowBorderDxfId="64" tableBorderDxfId="63">
  <autoFilter ref="B9:F19" xr:uid="{3213E7E1-3B71-FE44-925E-08200BD7E8B9}"/>
  <tableColumns count="5">
    <tableColumn id="1" xr3:uid="{75104F95-7316-944C-8CE5-252DC7694AF4}" name="Category"/>
    <tableColumn id="2" xr3:uid="{0BD9AA2F-1EB4-2C43-A0A3-6879C0247BCE}" name="Weekly Spend" dataDxfId="62"/>
    <tableColumn id="3" xr3:uid="{356E7A50-9B21-9449-8BEF-20E77923AC60}" name="Monthly Spend" dataDxfId="61"/>
    <tableColumn id="4" xr3:uid="{D2306FC6-9157-954C-ACB0-5553D61FDDD2}" name="Yearly Spend" dataDxfId="60"/>
    <tableColumn id="5" xr3:uid="{105532A7-FC3C-AF4C-989E-937012A97F76}" name="As Monthly" dataDxfId="59"/>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04E8ADB-ABC7-FA45-B873-6E6E77EB8C3D}" name="Spend_New" displayName="Spend_New" ref="B23:G34" totalsRowShown="0" headerRowDxfId="58" headerRowBorderDxfId="57" tableBorderDxfId="56">
  <autoFilter ref="B23:G34" xr:uid="{904E8ADB-ABC7-FA45-B873-6E6E77EB8C3D}"/>
  <tableColumns count="6">
    <tableColumn id="1" xr3:uid="{82A23FD4-D752-0E40-A722-150B3E0C3DA0}" name="Category"/>
    <tableColumn id="2" xr3:uid="{785EF2BD-C8B7-6441-85F3-0BA7E0B7EFAB}" name="Weekly Spend" dataDxfId="55"/>
    <tableColumn id="3" xr3:uid="{6091C99F-CDB2-2E46-89FA-5DE9A9933271}" name="Monthly Spend" dataDxfId="54"/>
    <tableColumn id="4" xr3:uid="{378D8EDF-6FC2-DF46-8E38-60848623735F}" name="Yearly Spend" dataDxfId="53"/>
    <tableColumn id="5" xr3:uid="{A8477BE8-CD1F-F147-B317-3F8508EAA8DA}" name="As Monthly" dataDxfId="52"/>
    <tableColumn id="6" xr3:uid="{00D8A7C8-A2CA-8043-9792-A914A5A8AF9F}" name="As Yearly" dataDxfId="51">
      <calculatedColumnFormula>Spend_New[[#This Row],[As Monthly]]*12</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04529D7-5003-6F46-8E65-F55BC229BA42}" name="Table3" displayName="Table3" ref="B3:F47" totalsRowShown="0" headerRowDxfId="50" dataDxfId="48" headerRowBorderDxfId="49" tableBorderDxfId="47">
  <autoFilter ref="B3:F47" xr:uid="{A04529D7-5003-6F46-8E65-F55BC229BA42}">
    <filterColumn colId="2">
      <filters blank="1">
        <dateGroupItem year="2026" dateTimeGrouping="year"/>
      </filters>
    </filterColumn>
  </autoFilter>
  <sortState xmlns:xlrd2="http://schemas.microsoft.com/office/spreadsheetml/2017/richdata2" ref="B27:F47">
    <sortCondition ref="D3:D47"/>
  </sortState>
  <tableColumns count="5">
    <tableColumn id="1" xr3:uid="{54135A69-ABE8-B34D-A8EC-1A77AB3B33D4}" name="Reason" dataDxfId="46"/>
    <tableColumn id="2" xr3:uid="{3305E462-9F15-A041-86EE-FD6B16F965EF}" name="Category" dataDxfId="45"/>
    <tableColumn id="3" xr3:uid="{9DDEB127-0F08-9545-9A98-5226DF21BDB0}" name="Date" dataDxfId="44"/>
    <tableColumn id="4" xr3:uid="{E90193B5-98E5-EF4F-B889-CA393CC3E418}" name="Amount" dataDxfId="43"/>
    <tableColumn id="5" xr3:uid="{7DE67ABA-28CA-CA45-954B-D23B98B30265}" name="Note" dataDxfId="42"/>
  </tableColumns>
  <tableStyleInfo name="TableStyleLight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F844D66-27C8-0D43-A314-2DD67FBB80F4}" name="Table5" displayName="Table5" ref="A4:E23" totalsRowShown="0">
  <autoFilter ref="A4:E23" xr:uid="{2F844D66-27C8-0D43-A314-2DD67FBB80F4}"/>
  <tableColumns count="5">
    <tableColumn id="1" xr3:uid="{829346DE-3C6C-EE47-A651-00C7D236AC58}" name="Date" dataDxfId="117"/>
    <tableColumn id="2" xr3:uid="{29B37D07-5050-E646-A481-485E12A91153}" name="Total Expenditure" dataDxfId="116">
      <calculatedColumnFormula>VLOOKUP(Projections!A5,Calcs!$A:$G,4,FALSE)</calculatedColumnFormula>
    </tableColumn>
    <tableColumn id="3" xr3:uid="{F74DFC77-3EB4-7644-9011-A3262F776CC8}" name="Remaining cash" dataDxfId="115">
      <calculatedColumnFormula>VLOOKUP(Projections!A5,Calcs!$A:$G,6,FALSE)</calculatedColumnFormula>
    </tableColumn>
    <tableColumn id="4" xr3:uid="{4A37C418-611C-9149-AFB9-D502A3ECCEB7}" name="Projected Worth">
      <calculatedColumnFormula>D4+C5</calculatedColumnFormula>
    </tableColumn>
    <tableColumn id="5" xr3:uid="{70849008-8D3C-D54A-A79B-85B96FCD465A}" name="Actual Worth"/>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vmlDrawing" Target="../drawings/vmlDrawing1.v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AABE-6BFA-374C-BAFF-950C7189EB65}">
  <sheetPr>
    <tabColor rgb="FFD883FF"/>
  </sheetPr>
  <dimension ref="A1:U72"/>
  <sheetViews>
    <sheetView showGridLines="0" tabSelected="1" workbookViewId="0">
      <selection activeCell="K21" sqref="K21"/>
    </sheetView>
  </sheetViews>
  <sheetFormatPr baseColWidth="10" defaultRowHeight="15" x14ac:dyDescent="0.2"/>
  <cols>
    <col min="1" max="1" width="13" style="105" bestFit="1" customWidth="1"/>
    <col min="2" max="2" width="14.83203125" style="106" bestFit="1" customWidth="1"/>
    <col min="3" max="3" width="9.5" style="105" bestFit="1" customWidth="1"/>
    <col min="4" max="4" width="12.83203125" style="106" bestFit="1" customWidth="1"/>
    <col min="5" max="5" width="13.6640625" style="105" bestFit="1" customWidth="1"/>
    <col min="6" max="6" width="12.6640625" style="105" bestFit="1" customWidth="1"/>
    <col min="7" max="7" width="14.1640625" style="105" bestFit="1" customWidth="1"/>
    <col min="8" max="9" width="9.5" style="105" bestFit="1" customWidth="1"/>
    <col min="10" max="10" width="10.5" style="105" customWidth="1"/>
    <col min="11" max="11" width="12.83203125" style="105" bestFit="1" customWidth="1"/>
    <col min="12" max="12" width="13" style="105" bestFit="1" customWidth="1"/>
    <col min="13" max="13" width="14.83203125" style="105" bestFit="1" customWidth="1"/>
    <col min="14" max="14" width="9.5" style="105" bestFit="1" customWidth="1"/>
    <col min="15" max="15" width="12.83203125" style="105" bestFit="1" customWidth="1"/>
    <col min="16" max="16" width="13.6640625" style="105" bestFit="1" customWidth="1"/>
    <col min="17" max="17" width="12.6640625" style="105" bestFit="1" customWidth="1"/>
    <col min="18" max="18" width="14.1640625" style="105" bestFit="1" customWidth="1"/>
    <col min="19" max="20" width="9.5" style="105" bestFit="1" customWidth="1"/>
    <col min="21" max="21" width="10.5" style="105" bestFit="1" customWidth="1"/>
    <col min="22" max="16384" width="10.83203125" style="105"/>
  </cols>
  <sheetData>
    <row r="1" spans="1:2" ht="19" x14ac:dyDescent="0.25">
      <c r="A1" s="104"/>
      <c r="B1" s="105"/>
    </row>
    <row r="2" spans="1:2" x14ac:dyDescent="0.2">
      <c r="B2" s="105"/>
    </row>
    <row r="3" spans="1:2" x14ac:dyDescent="0.2">
      <c r="B3" s="105"/>
    </row>
    <row r="4" spans="1:2" x14ac:dyDescent="0.2">
      <c r="B4" s="105"/>
    </row>
    <row r="5" spans="1:2" x14ac:dyDescent="0.2">
      <c r="B5" s="105"/>
    </row>
    <row r="6" spans="1:2" x14ac:dyDescent="0.2">
      <c r="B6" s="105"/>
    </row>
    <row r="7" spans="1:2" x14ac:dyDescent="0.2">
      <c r="B7" s="105"/>
    </row>
    <row r="8" spans="1:2" x14ac:dyDescent="0.2">
      <c r="B8" s="105"/>
    </row>
    <row r="9" spans="1:2" x14ac:dyDescent="0.2">
      <c r="B9" s="105"/>
    </row>
    <row r="10" spans="1:2" x14ac:dyDescent="0.2">
      <c r="B10" s="105"/>
    </row>
    <row r="11" spans="1:2" x14ac:dyDescent="0.2">
      <c r="B11" s="105"/>
    </row>
    <row r="12" spans="1:2" x14ac:dyDescent="0.2">
      <c r="B12" s="105"/>
    </row>
    <row r="26" spans="1:1" ht="19" x14ac:dyDescent="0.25">
      <c r="A26" s="104"/>
    </row>
    <row r="27" spans="1:1" ht="19" x14ac:dyDescent="0.25">
      <c r="A27" s="104"/>
    </row>
    <row r="28" spans="1:1" ht="19" x14ac:dyDescent="0.25">
      <c r="A28" s="104"/>
    </row>
    <row r="29" spans="1:1" ht="19" x14ac:dyDescent="0.25">
      <c r="A29" s="104"/>
    </row>
    <row r="30" spans="1:1" ht="19" x14ac:dyDescent="0.25">
      <c r="A30" s="104"/>
    </row>
    <row r="31" spans="1:1" ht="19" x14ac:dyDescent="0.25">
      <c r="A31" s="104"/>
    </row>
    <row r="32" spans="1:1" ht="19" x14ac:dyDescent="0.25">
      <c r="A32" s="104"/>
    </row>
    <row r="33" spans="1:21" ht="19" x14ac:dyDescent="0.25">
      <c r="A33" s="104"/>
    </row>
    <row r="34" spans="1:21" ht="19" x14ac:dyDescent="0.25">
      <c r="A34" s="104"/>
    </row>
    <row r="35" spans="1:21" ht="19" x14ac:dyDescent="0.25">
      <c r="A35" s="104"/>
    </row>
    <row r="36" spans="1:21" ht="19" x14ac:dyDescent="0.25">
      <c r="A36" s="104"/>
    </row>
    <row r="37" spans="1:21" ht="19" x14ac:dyDescent="0.25">
      <c r="A37" s="104"/>
    </row>
    <row r="38" spans="1:21" ht="19" x14ac:dyDescent="0.25">
      <c r="A38" s="104"/>
    </row>
    <row r="39" spans="1:21" ht="19" x14ac:dyDescent="0.25">
      <c r="A39" s="104"/>
    </row>
    <row r="40" spans="1:21" x14ac:dyDescent="0.2">
      <c r="A40" s="107" t="s">
        <v>126</v>
      </c>
    </row>
    <row r="42" spans="1:21" x14ac:dyDescent="0.2">
      <c r="A42" s="105" t="s">
        <v>92</v>
      </c>
      <c r="B42" s="105" t="s">
        <v>93</v>
      </c>
      <c r="D42" s="105"/>
      <c r="L42" s="105" t="s">
        <v>92</v>
      </c>
      <c r="M42" s="105" t="s">
        <v>93</v>
      </c>
    </row>
    <row r="43" spans="1:21" x14ac:dyDescent="0.2">
      <c r="A43" s="105" t="s">
        <v>90</v>
      </c>
      <c r="B43" s="105" t="s">
        <v>15</v>
      </c>
      <c r="C43" s="105" t="s">
        <v>14</v>
      </c>
      <c r="D43" s="105" t="s">
        <v>86</v>
      </c>
      <c r="E43" s="105" t="s">
        <v>88</v>
      </c>
      <c r="F43" s="105" t="s">
        <v>87</v>
      </c>
      <c r="G43" s="105" t="s">
        <v>132</v>
      </c>
      <c r="H43" s="105" t="s">
        <v>142</v>
      </c>
      <c r="I43" s="105" t="s">
        <v>188</v>
      </c>
      <c r="J43" s="105" t="s">
        <v>91</v>
      </c>
      <c r="L43" s="105" t="s">
        <v>90</v>
      </c>
      <c r="M43" s="105" t="s">
        <v>15</v>
      </c>
      <c r="N43" s="105" t="s">
        <v>14</v>
      </c>
      <c r="O43" s="105" t="s">
        <v>86</v>
      </c>
      <c r="P43" s="105" t="s">
        <v>88</v>
      </c>
      <c r="Q43" s="105" t="s">
        <v>87</v>
      </c>
      <c r="R43" s="105" t="s">
        <v>132</v>
      </c>
      <c r="S43" s="105" t="s">
        <v>142</v>
      </c>
      <c r="T43" s="105" t="s">
        <v>188</v>
      </c>
      <c r="U43" s="105" t="s">
        <v>91</v>
      </c>
    </row>
    <row r="44" spans="1:21" x14ac:dyDescent="0.2">
      <c r="A44" s="108">
        <v>45654</v>
      </c>
      <c r="B44" s="106">
        <v>-675</v>
      </c>
      <c r="C44" s="106">
        <v>2568</v>
      </c>
      <c r="D44" s="106">
        <v>167</v>
      </c>
      <c r="E44" s="106">
        <v>2204</v>
      </c>
      <c r="F44" s="106">
        <v>3076</v>
      </c>
      <c r="G44" s="106">
        <v>9943</v>
      </c>
      <c r="H44" s="106">
        <v>5229</v>
      </c>
      <c r="I44" s="106"/>
      <c r="J44" s="106">
        <v>22512</v>
      </c>
      <c r="L44" s="108">
        <v>45654</v>
      </c>
      <c r="M44" s="106">
        <v>-675</v>
      </c>
      <c r="N44" s="106">
        <v>2568</v>
      </c>
      <c r="O44" s="106">
        <v>167</v>
      </c>
      <c r="P44" s="106">
        <v>2204</v>
      </c>
      <c r="Q44" s="106">
        <v>3076</v>
      </c>
      <c r="R44" s="106">
        <v>9943</v>
      </c>
      <c r="S44" s="106">
        <v>5229</v>
      </c>
      <c r="T44" s="106"/>
      <c r="U44" s="106">
        <v>22512</v>
      </c>
    </row>
    <row r="45" spans="1:21" x14ac:dyDescent="0.2">
      <c r="A45" s="108">
        <v>45656</v>
      </c>
      <c r="B45" s="106">
        <v>-575</v>
      </c>
      <c r="C45" s="106">
        <v>2668</v>
      </c>
      <c r="D45" s="106">
        <v>267</v>
      </c>
      <c r="E45" s="106">
        <v>2304</v>
      </c>
      <c r="F45" s="106">
        <v>3176</v>
      </c>
      <c r="G45" s="106">
        <v>10043</v>
      </c>
      <c r="H45" s="106">
        <v>5329</v>
      </c>
      <c r="I45" s="106"/>
      <c r="J45" s="106">
        <v>23212</v>
      </c>
      <c r="L45" s="108">
        <v>45656</v>
      </c>
      <c r="M45" s="106">
        <v>-575</v>
      </c>
      <c r="N45" s="106">
        <v>2668</v>
      </c>
      <c r="O45" s="106">
        <v>267</v>
      </c>
      <c r="P45" s="106">
        <v>2304</v>
      </c>
      <c r="Q45" s="106">
        <v>3176</v>
      </c>
      <c r="R45" s="106">
        <v>10043</v>
      </c>
      <c r="S45" s="106">
        <v>5329</v>
      </c>
      <c r="T45" s="106"/>
      <c r="U45" s="106">
        <v>23212</v>
      </c>
    </row>
    <row r="46" spans="1:21" x14ac:dyDescent="0.2">
      <c r="A46" s="108">
        <v>45718</v>
      </c>
      <c r="B46" s="106">
        <v>0</v>
      </c>
      <c r="C46" s="106">
        <v>2105</v>
      </c>
      <c r="D46" s="106">
        <v>20</v>
      </c>
      <c r="E46" s="106">
        <v>426</v>
      </c>
      <c r="F46" s="106">
        <v>1472</v>
      </c>
      <c r="G46" s="106">
        <v>13883</v>
      </c>
      <c r="H46" s="106">
        <v>5331.77</v>
      </c>
      <c r="I46" s="106"/>
      <c r="J46" s="106">
        <v>23237.77</v>
      </c>
      <c r="L46" s="108">
        <v>45718</v>
      </c>
      <c r="M46" s="106">
        <v>0</v>
      </c>
      <c r="N46" s="106">
        <v>2105</v>
      </c>
      <c r="O46" s="106">
        <v>20</v>
      </c>
      <c r="P46" s="106">
        <v>426</v>
      </c>
      <c r="Q46" s="106">
        <v>1472</v>
      </c>
      <c r="R46" s="106">
        <v>13883</v>
      </c>
      <c r="S46" s="106">
        <v>5331.77</v>
      </c>
      <c r="T46" s="106"/>
      <c r="U46" s="106">
        <v>23237.77</v>
      </c>
    </row>
    <row r="47" spans="1:21" x14ac:dyDescent="0.2">
      <c r="A47" s="108">
        <v>45749</v>
      </c>
      <c r="B47" s="106">
        <v>0</v>
      </c>
      <c r="C47" s="106">
        <v>2271.64</v>
      </c>
      <c r="D47" s="106">
        <v>7</v>
      </c>
      <c r="E47" s="106">
        <v>4832.2299999999996</v>
      </c>
      <c r="F47" s="106">
        <v>1897.69</v>
      </c>
      <c r="G47" s="106">
        <v>14924.24</v>
      </c>
      <c r="H47" s="106">
        <v>0</v>
      </c>
      <c r="I47" s="106"/>
      <c r="J47" s="106">
        <v>23932.799999999999</v>
      </c>
      <c r="L47" s="108">
        <v>45749</v>
      </c>
      <c r="M47" s="106">
        <v>0</v>
      </c>
      <c r="N47" s="106">
        <v>2271.64</v>
      </c>
      <c r="O47" s="106">
        <v>7</v>
      </c>
      <c r="P47" s="106">
        <v>4832.2299999999996</v>
      </c>
      <c r="Q47" s="106">
        <v>1897.69</v>
      </c>
      <c r="R47" s="106">
        <v>14924.24</v>
      </c>
      <c r="S47" s="106">
        <v>0</v>
      </c>
      <c r="T47" s="106"/>
      <c r="U47" s="106">
        <v>23932.799999999999</v>
      </c>
    </row>
    <row r="48" spans="1:21" x14ac:dyDescent="0.2">
      <c r="A48" s="108">
        <v>45791</v>
      </c>
      <c r="B48" s="106">
        <v>-408.77</v>
      </c>
      <c r="C48" s="106">
        <v>2152</v>
      </c>
      <c r="D48" s="106">
        <v>1.92</v>
      </c>
      <c r="E48" s="106">
        <v>635</v>
      </c>
      <c r="F48" s="106">
        <v>1147.8800000000001</v>
      </c>
      <c r="G48" s="106">
        <v>15234</v>
      </c>
      <c r="H48" s="106">
        <v>4274.6000000000004</v>
      </c>
      <c r="I48" s="106"/>
      <c r="J48" s="106">
        <v>23036.629999999997</v>
      </c>
      <c r="L48" s="108">
        <v>45791</v>
      </c>
      <c r="M48" s="106">
        <v>-408.77</v>
      </c>
      <c r="N48" s="106">
        <v>2152</v>
      </c>
      <c r="O48" s="106">
        <v>1.92</v>
      </c>
      <c r="P48" s="106">
        <v>635</v>
      </c>
      <c r="Q48" s="106">
        <v>1147.8800000000001</v>
      </c>
      <c r="R48" s="106">
        <v>15234</v>
      </c>
      <c r="S48" s="106">
        <v>4274.6000000000004</v>
      </c>
      <c r="T48" s="106"/>
      <c r="U48" s="106">
        <v>23036.629999999997</v>
      </c>
    </row>
    <row r="49" spans="1:21" x14ac:dyDescent="0.2">
      <c r="A49" s="108">
        <v>45808</v>
      </c>
      <c r="B49" s="106">
        <v>0</v>
      </c>
      <c r="C49" s="106">
        <v>2000</v>
      </c>
      <c r="D49" s="106">
        <v>45</v>
      </c>
      <c r="E49" s="106">
        <v>1135</v>
      </c>
      <c r="F49" s="106">
        <v>1500</v>
      </c>
      <c r="G49" s="106">
        <v>15259</v>
      </c>
      <c r="H49" s="106">
        <v>4254</v>
      </c>
      <c r="I49" s="106"/>
      <c r="J49" s="106">
        <v>24193</v>
      </c>
      <c r="L49" s="108">
        <v>45808</v>
      </c>
      <c r="M49" s="106">
        <v>0</v>
      </c>
      <c r="N49" s="106">
        <v>2000</v>
      </c>
      <c r="O49" s="106">
        <v>45</v>
      </c>
      <c r="P49" s="106">
        <v>1135</v>
      </c>
      <c r="Q49" s="106">
        <v>1500</v>
      </c>
      <c r="R49" s="106">
        <v>15259</v>
      </c>
      <c r="S49" s="106">
        <v>4254</v>
      </c>
      <c r="T49" s="106"/>
      <c r="U49" s="106">
        <v>24193</v>
      </c>
    </row>
    <row r="50" spans="1:21" x14ac:dyDescent="0.2">
      <c r="A50" s="108">
        <v>45839</v>
      </c>
      <c r="B50" s="106">
        <v>339</v>
      </c>
      <c r="C50" s="106">
        <v>1890</v>
      </c>
      <c r="D50" s="106">
        <v>50</v>
      </c>
      <c r="E50" s="106">
        <v>1742</v>
      </c>
      <c r="F50" s="106">
        <v>1193</v>
      </c>
      <c r="G50" s="106">
        <v>15301</v>
      </c>
      <c r="H50" s="106">
        <v>4370</v>
      </c>
      <c r="I50" s="106"/>
      <c r="J50" s="106">
        <v>24885</v>
      </c>
      <c r="L50" s="108">
        <v>45839</v>
      </c>
      <c r="M50" s="106">
        <v>339</v>
      </c>
      <c r="N50" s="106">
        <v>1890</v>
      </c>
      <c r="O50" s="106">
        <v>50</v>
      </c>
      <c r="P50" s="106">
        <v>1742</v>
      </c>
      <c r="Q50" s="106">
        <v>1193</v>
      </c>
      <c r="R50" s="106">
        <v>15301</v>
      </c>
      <c r="S50" s="106">
        <v>4370</v>
      </c>
      <c r="T50" s="106"/>
      <c r="U50" s="106">
        <v>24885</v>
      </c>
    </row>
    <row r="51" spans="1:21" x14ac:dyDescent="0.2">
      <c r="A51" s="108">
        <v>45872</v>
      </c>
      <c r="B51" s="106">
        <v>0</v>
      </c>
      <c r="C51" s="106">
        <v>2250</v>
      </c>
      <c r="D51" s="106">
        <v>50</v>
      </c>
      <c r="E51" s="106">
        <v>2798</v>
      </c>
      <c r="F51" s="106">
        <v>983</v>
      </c>
      <c r="G51" s="106">
        <v>15346</v>
      </c>
      <c r="H51" s="106">
        <v>4525</v>
      </c>
      <c r="I51" s="106"/>
      <c r="J51" s="106">
        <v>25952</v>
      </c>
      <c r="L51" s="108">
        <v>45872</v>
      </c>
      <c r="M51" s="106">
        <v>0</v>
      </c>
      <c r="N51" s="106">
        <v>2250</v>
      </c>
      <c r="O51" s="106">
        <v>50</v>
      </c>
      <c r="P51" s="106">
        <v>2798</v>
      </c>
      <c r="Q51" s="106">
        <v>983</v>
      </c>
      <c r="R51" s="106">
        <v>15346</v>
      </c>
      <c r="S51" s="106">
        <v>4525</v>
      </c>
      <c r="T51" s="106"/>
      <c r="U51" s="106">
        <v>25952</v>
      </c>
    </row>
    <row r="52" spans="1:21" x14ac:dyDescent="0.2">
      <c r="A52" s="108">
        <v>45962</v>
      </c>
      <c r="B52" s="106">
        <v>0</v>
      </c>
      <c r="C52" s="106">
        <v>2225.0100000000002</v>
      </c>
      <c r="D52" s="106">
        <v>120</v>
      </c>
      <c r="E52" s="106">
        <v>4205</v>
      </c>
      <c r="F52" s="106">
        <v>969</v>
      </c>
      <c r="G52" s="106">
        <v>15462</v>
      </c>
      <c r="H52" s="106">
        <v>5022</v>
      </c>
      <c r="I52" s="106"/>
      <c r="J52" s="106">
        <v>28003.010000000002</v>
      </c>
      <c r="L52" s="108">
        <v>45962</v>
      </c>
      <c r="M52" s="106">
        <v>0</v>
      </c>
      <c r="N52" s="106">
        <v>2225.0100000000002</v>
      </c>
      <c r="O52" s="106">
        <v>120</v>
      </c>
      <c r="P52" s="106">
        <v>4205</v>
      </c>
      <c r="Q52" s="106">
        <v>969</v>
      </c>
      <c r="R52" s="106">
        <v>15462</v>
      </c>
      <c r="S52" s="106">
        <v>5022</v>
      </c>
      <c r="T52" s="106"/>
      <c r="U52" s="106">
        <v>28003.010000000002</v>
      </c>
    </row>
    <row r="53" spans="1:21" x14ac:dyDescent="0.2">
      <c r="A53" s="108">
        <v>46000</v>
      </c>
      <c r="B53" s="106">
        <v>110</v>
      </c>
      <c r="C53" s="106">
        <v>1741</v>
      </c>
      <c r="D53" s="106">
        <v>169</v>
      </c>
      <c r="E53" s="106">
        <v>4024</v>
      </c>
      <c r="F53" s="106">
        <v>1070</v>
      </c>
      <c r="G53" s="106">
        <v>15511</v>
      </c>
      <c r="H53" s="106">
        <v>4976.05</v>
      </c>
      <c r="I53" s="106"/>
      <c r="J53" s="106">
        <v>27601.05</v>
      </c>
      <c r="L53" s="108">
        <v>46000</v>
      </c>
      <c r="M53" s="106">
        <v>110</v>
      </c>
      <c r="N53" s="106">
        <v>1741</v>
      </c>
      <c r="O53" s="106">
        <v>169</v>
      </c>
      <c r="P53" s="106">
        <v>4024</v>
      </c>
      <c r="Q53" s="106">
        <v>1070</v>
      </c>
      <c r="R53" s="106">
        <v>15511</v>
      </c>
      <c r="S53" s="106">
        <v>4976.05</v>
      </c>
      <c r="T53" s="106"/>
      <c r="U53" s="106">
        <v>27601.05</v>
      </c>
    </row>
    <row r="54" spans="1:21" x14ac:dyDescent="0.2">
      <c r="A54" s="108">
        <v>46021</v>
      </c>
      <c r="B54" s="106">
        <v>0</v>
      </c>
      <c r="C54" s="106">
        <v>1700</v>
      </c>
      <c r="D54" s="106">
        <v>194</v>
      </c>
      <c r="E54" s="106">
        <v>4824</v>
      </c>
      <c r="F54" s="106">
        <v>1720</v>
      </c>
      <c r="G54" s="106">
        <v>15538</v>
      </c>
      <c r="H54" s="106">
        <v>4972</v>
      </c>
      <c r="I54" s="106"/>
      <c r="J54" s="106">
        <v>28948</v>
      </c>
      <c r="L54" s="108">
        <v>46021</v>
      </c>
      <c r="M54" s="106">
        <v>0</v>
      </c>
      <c r="N54" s="106">
        <v>1700</v>
      </c>
      <c r="O54" s="106">
        <v>194</v>
      </c>
      <c r="P54" s="106">
        <v>4824</v>
      </c>
      <c r="Q54" s="106">
        <v>1720</v>
      </c>
      <c r="R54" s="106">
        <v>15538</v>
      </c>
      <c r="S54" s="106">
        <v>4972</v>
      </c>
      <c r="T54" s="106"/>
      <c r="U54" s="106">
        <v>28948</v>
      </c>
    </row>
    <row r="55" spans="1:21" x14ac:dyDescent="0.2">
      <c r="A55" s="108">
        <v>46063</v>
      </c>
      <c r="B55" s="106">
        <v>0</v>
      </c>
      <c r="C55" s="106">
        <v>1500</v>
      </c>
      <c r="D55" s="106">
        <v>230</v>
      </c>
      <c r="E55" s="106">
        <v>3607</v>
      </c>
      <c r="F55" s="106">
        <v>451</v>
      </c>
      <c r="G55" s="106">
        <v>15733</v>
      </c>
      <c r="H55" s="106">
        <v>5087</v>
      </c>
      <c r="I55" s="106"/>
      <c r="J55" s="106">
        <v>26608</v>
      </c>
      <c r="L55" s="108">
        <v>46063</v>
      </c>
      <c r="M55" s="106">
        <v>0</v>
      </c>
      <c r="N55" s="106">
        <v>1500</v>
      </c>
      <c r="O55" s="106">
        <v>230</v>
      </c>
      <c r="P55" s="106">
        <v>3607</v>
      </c>
      <c r="Q55" s="106">
        <v>451</v>
      </c>
      <c r="R55" s="106">
        <v>15733</v>
      </c>
      <c r="S55" s="106">
        <v>5087</v>
      </c>
      <c r="T55" s="106"/>
      <c r="U55" s="106">
        <v>26608</v>
      </c>
    </row>
    <row r="56" spans="1:21" x14ac:dyDescent="0.2">
      <c r="A56" s="108">
        <v>46118</v>
      </c>
      <c r="B56" s="106">
        <v>0</v>
      </c>
      <c r="C56" s="106">
        <v>1267</v>
      </c>
      <c r="D56" s="106">
        <v>230</v>
      </c>
      <c r="E56" s="106">
        <v>596.6</v>
      </c>
      <c r="F56" s="106">
        <v>978.18</v>
      </c>
      <c r="G56" s="106">
        <v>15800</v>
      </c>
      <c r="H56" s="106">
        <v>4961</v>
      </c>
      <c r="I56" s="106">
        <v>2055.4499999999998</v>
      </c>
      <c r="J56" s="106">
        <v>25888.23</v>
      </c>
      <c r="L56" s="108">
        <v>46118</v>
      </c>
      <c r="M56" s="106">
        <v>0</v>
      </c>
      <c r="N56" s="106">
        <v>1267</v>
      </c>
      <c r="O56" s="106">
        <v>230</v>
      </c>
      <c r="P56" s="106">
        <v>596.6</v>
      </c>
      <c r="Q56" s="106">
        <v>978.18</v>
      </c>
      <c r="R56" s="106">
        <v>15800</v>
      </c>
      <c r="S56" s="106">
        <v>4961</v>
      </c>
      <c r="T56" s="106">
        <v>2055.4499999999998</v>
      </c>
      <c r="U56" s="106">
        <v>25888.23</v>
      </c>
    </row>
    <row r="57" spans="1:21" x14ac:dyDescent="0.2">
      <c r="A57" s="108">
        <v>46157</v>
      </c>
      <c r="B57" s="106">
        <v>0</v>
      </c>
      <c r="C57" s="106">
        <v>1500</v>
      </c>
      <c r="D57" s="106">
        <v>230</v>
      </c>
      <c r="E57" s="106">
        <v>597</v>
      </c>
      <c r="F57" s="106">
        <v>1045</v>
      </c>
      <c r="G57" s="106">
        <v>15850</v>
      </c>
      <c r="H57" s="106">
        <v>5482</v>
      </c>
      <c r="I57" s="106">
        <v>2062</v>
      </c>
      <c r="J57" s="106">
        <v>26766</v>
      </c>
      <c r="L57" s="108">
        <v>46157</v>
      </c>
      <c r="M57" s="106">
        <v>0</v>
      </c>
      <c r="N57" s="106">
        <v>1500</v>
      </c>
      <c r="O57" s="106">
        <v>230</v>
      </c>
      <c r="P57" s="106">
        <v>597</v>
      </c>
      <c r="Q57" s="106">
        <v>1045</v>
      </c>
      <c r="R57" s="106">
        <v>15850</v>
      </c>
      <c r="S57" s="106">
        <v>5482</v>
      </c>
      <c r="T57" s="106">
        <v>2062</v>
      </c>
      <c r="U57" s="106">
        <v>26766</v>
      </c>
    </row>
    <row r="58" spans="1:21" x14ac:dyDescent="0.2">
      <c r="A58" s="108">
        <v>46177</v>
      </c>
      <c r="B58" s="106">
        <v>0</v>
      </c>
      <c r="C58" s="106">
        <v>1200</v>
      </c>
      <c r="D58" s="106">
        <v>216</v>
      </c>
      <c r="E58" s="106">
        <v>1400</v>
      </c>
      <c r="F58" s="106">
        <v>621</v>
      </c>
      <c r="G58" s="106">
        <v>15892</v>
      </c>
      <c r="H58" s="106">
        <v>5574</v>
      </c>
      <c r="I58" s="106">
        <v>17190</v>
      </c>
      <c r="J58" s="106">
        <v>42093</v>
      </c>
      <c r="L58" s="108">
        <v>46177</v>
      </c>
      <c r="M58" s="106">
        <v>0</v>
      </c>
      <c r="N58" s="106">
        <v>1200</v>
      </c>
      <c r="O58" s="106">
        <v>216</v>
      </c>
      <c r="P58" s="106">
        <v>1400</v>
      </c>
      <c r="Q58" s="106">
        <v>621</v>
      </c>
      <c r="R58" s="106">
        <v>15892</v>
      </c>
      <c r="S58" s="106">
        <v>5574</v>
      </c>
      <c r="T58" s="106">
        <v>17190</v>
      </c>
      <c r="U58" s="106">
        <v>42093</v>
      </c>
    </row>
    <row r="59" spans="1:21" x14ac:dyDescent="0.2">
      <c r="A59" s="108" t="s">
        <v>91</v>
      </c>
      <c r="B59" s="106">
        <v>-1209.77</v>
      </c>
      <c r="C59" s="106">
        <v>29037.65</v>
      </c>
      <c r="D59" s="106">
        <v>1996.92</v>
      </c>
      <c r="E59" s="106">
        <v>35329.83</v>
      </c>
      <c r="F59" s="106">
        <v>21299.75</v>
      </c>
      <c r="G59" s="106">
        <v>219719.24</v>
      </c>
      <c r="H59" s="106">
        <v>69387.420000000013</v>
      </c>
      <c r="I59" s="106">
        <v>21307.45</v>
      </c>
      <c r="J59" s="106">
        <v>396868.49</v>
      </c>
      <c r="L59" s="108" t="s">
        <v>91</v>
      </c>
      <c r="M59" s="106">
        <v>-1209.77</v>
      </c>
      <c r="N59" s="106">
        <v>29037.65</v>
      </c>
      <c r="O59" s="106">
        <v>1996.92</v>
      </c>
      <c r="P59" s="106">
        <v>35329.83</v>
      </c>
      <c r="Q59" s="106">
        <v>21299.75</v>
      </c>
      <c r="R59" s="106">
        <v>219719.24</v>
      </c>
      <c r="S59" s="106">
        <v>69387.420000000013</v>
      </c>
      <c r="T59" s="106">
        <v>21307.45</v>
      </c>
      <c r="U59" s="106">
        <v>396868.49</v>
      </c>
    </row>
    <row r="60" spans="1:21" x14ac:dyDescent="0.2">
      <c r="B60" s="105"/>
    </row>
    <row r="61" spans="1:21" x14ac:dyDescent="0.2">
      <c r="B61" s="105"/>
    </row>
    <row r="62" spans="1:21" x14ac:dyDescent="0.2">
      <c r="B62" s="105"/>
    </row>
    <row r="63" spans="1:21" x14ac:dyDescent="0.2">
      <c r="B63" s="105"/>
    </row>
    <row r="64" spans="1:21" x14ac:dyDescent="0.2">
      <c r="B64" s="105"/>
      <c r="D64" s="105"/>
    </row>
    <row r="65" spans="2:4" x14ac:dyDescent="0.2">
      <c r="B65" s="105"/>
      <c r="D65" s="105"/>
    </row>
    <row r="66" spans="2:4" x14ac:dyDescent="0.2">
      <c r="B66" s="105"/>
      <c r="D66" s="105"/>
    </row>
    <row r="67" spans="2:4" x14ac:dyDescent="0.2">
      <c r="B67" s="105"/>
      <c r="D67" s="105"/>
    </row>
    <row r="68" spans="2:4" x14ac:dyDescent="0.2">
      <c r="B68" s="105"/>
      <c r="D68" s="105"/>
    </row>
    <row r="69" spans="2:4" x14ac:dyDescent="0.2">
      <c r="B69" s="105"/>
      <c r="D69" s="105"/>
    </row>
    <row r="70" spans="2:4" x14ac:dyDescent="0.2">
      <c r="B70" s="105"/>
      <c r="D70" s="105"/>
    </row>
    <row r="71" spans="2:4" x14ac:dyDescent="0.2">
      <c r="B71" s="105"/>
      <c r="D71" s="105"/>
    </row>
    <row r="72" spans="2:4" x14ac:dyDescent="0.2">
      <c r="B72" s="105"/>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832DE-CFA6-574E-9371-A5B5BAECA55C}">
  <sheetPr>
    <tabColor rgb="FFD883FF"/>
  </sheetPr>
  <dimension ref="A1:I140"/>
  <sheetViews>
    <sheetView workbookViewId="0">
      <selection activeCell="C19" sqref="C19"/>
    </sheetView>
  </sheetViews>
  <sheetFormatPr baseColWidth="10" defaultRowHeight="15" x14ac:dyDescent="0.2"/>
  <cols>
    <col min="1" max="1" width="12.1640625" bestFit="1" customWidth="1"/>
    <col min="2" max="2" width="13" style="19" bestFit="1" customWidth="1"/>
    <col min="3" max="3" width="13.1640625" bestFit="1" customWidth="1"/>
    <col min="4" max="5" width="15.83203125" customWidth="1"/>
    <col min="6" max="6" width="22.33203125" bestFit="1" customWidth="1"/>
    <col min="7" max="7" width="13" bestFit="1" customWidth="1"/>
  </cols>
  <sheetData>
    <row r="1" spans="1:9" x14ac:dyDescent="0.2">
      <c r="A1" s="75" t="s">
        <v>42</v>
      </c>
    </row>
    <row r="2" spans="1:9" x14ac:dyDescent="0.2">
      <c r="A2" t="s">
        <v>83</v>
      </c>
      <c r="B2" t="s">
        <v>42</v>
      </c>
      <c r="C2" t="s">
        <v>80</v>
      </c>
      <c r="D2" t="s">
        <v>134</v>
      </c>
    </row>
    <row r="3" spans="1:9" x14ac:dyDescent="0.2">
      <c r="A3" t="s">
        <v>132</v>
      </c>
      <c r="B3" s="19">
        <v>12000</v>
      </c>
      <c r="C3" s="19"/>
      <c r="D3" s="19"/>
      <c r="E3" s="19"/>
    </row>
    <row r="4" spans="1:9" x14ac:dyDescent="0.2">
      <c r="A4" t="s">
        <v>142</v>
      </c>
      <c r="B4" s="19">
        <v>4000</v>
      </c>
      <c r="C4" s="19"/>
      <c r="D4" s="19"/>
      <c r="E4" s="19"/>
    </row>
    <row r="5" spans="1:9" x14ac:dyDescent="0.2">
      <c r="A5" t="s">
        <v>14</v>
      </c>
      <c r="B5" s="19">
        <v>4025</v>
      </c>
      <c r="C5" s="19">
        <v>2643</v>
      </c>
      <c r="D5" s="19"/>
      <c r="E5" s="19"/>
    </row>
    <row r="6" spans="1:9" x14ac:dyDescent="0.2">
      <c r="A6" t="s">
        <v>88</v>
      </c>
      <c r="B6" s="19">
        <v>0</v>
      </c>
      <c r="C6" s="19">
        <v>0</v>
      </c>
      <c r="D6" s="19"/>
      <c r="E6" s="19"/>
    </row>
    <row r="7" spans="1:9" x14ac:dyDescent="0.2">
      <c r="A7" t="s">
        <v>188</v>
      </c>
      <c r="B7" s="19">
        <v>17000</v>
      </c>
      <c r="C7" s="19"/>
      <c r="D7" s="19"/>
      <c r="E7" s="19"/>
    </row>
    <row r="8" spans="1:9" x14ac:dyDescent="0.2">
      <c r="C8" s="19"/>
      <c r="D8" s="19"/>
      <c r="E8" s="19"/>
    </row>
    <row r="10" spans="1:9" x14ac:dyDescent="0.2">
      <c r="A10" s="75" t="s">
        <v>124</v>
      </c>
    </row>
    <row r="11" spans="1:9" x14ac:dyDescent="0.2">
      <c r="A11" t="s">
        <v>40</v>
      </c>
      <c r="B11" t="s">
        <v>83</v>
      </c>
      <c r="C11" s="19" t="s">
        <v>10</v>
      </c>
      <c r="D11" s="19" t="s">
        <v>11</v>
      </c>
      <c r="E11" s="19" t="s">
        <v>123</v>
      </c>
      <c r="F11" t="s">
        <v>84</v>
      </c>
    </row>
    <row r="12" spans="1:9" x14ac:dyDescent="0.2">
      <c r="A12" s="50">
        <v>46177</v>
      </c>
      <c r="B12" s="50" t="s">
        <v>188</v>
      </c>
      <c r="C12" s="19">
        <v>17190</v>
      </c>
      <c r="D12" s="19">
        <f>Table1[[#This Row],[Amount]]-INDEX(Table2[], MATCH(Table1[[#This Row],[Account]],Table2[Account],0), 2) + INDEX(Table2[], MATCH(Table1[[#This Row],[Account]],Table2[Account],0), 3)</f>
        <v>190</v>
      </c>
      <c r="E12" s="100">
        <f>Table1[[#This Row],[P/L]]/INDEX(Table2[], MATCH(Table1[[#This Row],[Account]], Table2[Account],0),2)</f>
        <v>1.1176470588235295E-2</v>
      </c>
    </row>
    <row r="13" spans="1:9" x14ac:dyDescent="0.2">
      <c r="A13" s="50">
        <v>46177</v>
      </c>
      <c r="B13" t="s">
        <v>132</v>
      </c>
      <c r="C13" s="19">
        <v>15892</v>
      </c>
      <c r="D13" s="19">
        <f>Table1[[#This Row],[Amount]]-INDEX(Table2[], MATCH(Table1[[#This Row],[Account]],Table2[Account],0), 2) + INDEX(Table2[], MATCH(Table1[[#This Row],[Account]],Table2[Account],0), 3)</f>
        <v>3892</v>
      </c>
      <c r="E13" s="100">
        <f>Table1[[#This Row],[P/L]]/INDEX(Table2[], MATCH(Table1[[#This Row],[Account]], Table2[Account],0),2)</f>
        <v>0.32433333333333331</v>
      </c>
    </row>
    <row r="14" spans="1:9" x14ac:dyDescent="0.2">
      <c r="A14" s="50">
        <v>46177</v>
      </c>
      <c r="B14" t="s">
        <v>142</v>
      </c>
      <c r="C14" s="19">
        <v>5574</v>
      </c>
      <c r="D14" s="19">
        <f>Table1[[#This Row],[Amount]]-INDEX(Table2[], MATCH(Table1[[#This Row],[Account]],Table2[Account],0), 2) + INDEX(Table2[], MATCH(Table1[[#This Row],[Account]],Table2[Account],0), 3)</f>
        <v>1574</v>
      </c>
      <c r="E14" s="100">
        <f>Table1[[#This Row],[P/L]]/INDEX(Table2[], MATCH(Table1[[#This Row],[Account]], Table2[Account],0),2)</f>
        <v>0.39350000000000002</v>
      </c>
    </row>
    <row r="15" spans="1:9" x14ac:dyDescent="0.2">
      <c r="A15" s="50">
        <v>46177</v>
      </c>
      <c r="B15" t="s">
        <v>14</v>
      </c>
      <c r="C15" s="19">
        <v>1200</v>
      </c>
      <c r="D15" s="19">
        <f>Table1[[#This Row],[Amount]]-INDEX(Table2[], MATCH(Table1[[#This Row],[Account]],Table2[Account],0), 2) + INDEX(Table2[], MATCH(Table1[[#This Row],[Account]],Table2[Account],0), 3)</f>
        <v>-182</v>
      </c>
      <c r="E15" s="100">
        <f>Table1[[#This Row],[P/L]]/INDEX(Table2[], MATCH(Table1[[#This Row],[Account]], Table2[Account],0),2)</f>
        <v>-4.5217391304347827E-2</v>
      </c>
      <c r="I15" s="19"/>
    </row>
    <row r="16" spans="1:9" x14ac:dyDescent="0.2">
      <c r="A16" s="50">
        <v>46177</v>
      </c>
      <c r="B16" t="s">
        <v>87</v>
      </c>
      <c r="C16" s="19">
        <v>621</v>
      </c>
      <c r="D16" s="19" t="e">
        <f>Table1[[#This Row],[Amount]]-INDEX(Table2[], MATCH(Table1[[#This Row],[Account]],Table2[Account],0), 2) + INDEX(Table2[], MATCH(Table1[[#This Row],[Account]],Table2[Account],0), 3)</f>
        <v>#N/A</v>
      </c>
      <c r="E16" s="100" t="e">
        <f>Table1[[#This Row],[P/L]]/INDEX(Table2[], MATCH(Table1[[#This Row],[Account]], Table2[Account],0),2)</f>
        <v>#N/A</v>
      </c>
      <c r="I16" s="19"/>
    </row>
    <row r="17" spans="1:5" x14ac:dyDescent="0.2">
      <c r="A17" s="50">
        <v>46177</v>
      </c>
      <c r="B17" t="s">
        <v>86</v>
      </c>
      <c r="C17" s="19">
        <v>216</v>
      </c>
      <c r="D17" s="19" t="e">
        <f>Table1[[#This Row],[Amount]]-INDEX(Table2[], MATCH(Table1[[#This Row],[Account]],Table2[Account],0), 2) + INDEX(Table2[], MATCH(Table1[[#This Row],[Account]],Table2[Account],0), 3)</f>
        <v>#N/A</v>
      </c>
      <c r="E17" s="100" t="e">
        <f>Table1[[#This Row],[P/L]]/INDEX(Table2[], MATCH(Table1[[#This Row],[Account]], Table2[Account],0),2)</f>
        <v>#N/A</v>
      </c>
    </row>
    <row r="18" spans="1:5" x14ac:dyDescent="0.2">
      <c r="A18" s="50">
        <v>46177</v>
      </c>
      <c r="B18" t="s">
        <v>15</v>
      </c>
      <c r="C18" s="19">
        <v>0</v>
      </c>
      <c r="D18" s="19" t="e">
        <f>Table1[[#This Row],[Amount]]-INDEX(Table2[], MATCH(Table1[[#This Row],[Account]],Table2[Account],0), 2) + INDEX(Table2[], MATCH(Table1[[#This Row],[Account]],Table2[Account],0), 3)</f>
        <v>#N/A</v>
      </c>
      <c r="E18" s="100" t="e">
        <f>Table1[[#This Row],[P/L]]/INDEX(Table2[], MATCH(Table1[[#This Row],[Account]], Table2[Account],0),2)</f>
        <v>#N/A</v>
      </c>
    </row>
    <row r="19" spans="1:5" x14ac:dyDescent="0.2">
      <c r="A19" s="50">
        <v>46177</v>
      </c>
      <c r="B19" t="s">
        <v>88</v>
      </c>
      <c r="C19" s="19">
        <v>1400</v>
      </c>
      <c r="D19" s="19">
        <f>Table1[[#This Row],[Amount]]-INDEX(Table2[], MATCH(Table1[[#This Row],[Account]],Table2[Account],0), 2) + INDEX(Table2[], MATCH(Table1[[#This Row],[Account]],Table2[Account],0), 3)</f>
        <v>1400</v>
      </c>
      <c r="E19" s="100" t="e">
        <f>Table1[[#This Row],[P/L]]/INDEX(Table2[], MATCH(Table1[[#This Row],[Account]], Table2[Account],0),2)</f>
        <v>#DIV/0!</v>
      </c>
    </row>
    <row r="20" spans="1:5" x14ac:dyDescent="0.2">
      <c r="A20" s="50">
        <v>46157</v>
      </c>
      <c r="B20" s="50" t="s">
        <v>188</v>
      </c>
      <c r="C20" s="19">
        <v>2062</v>
      </c>
      <c r="D20" s="19">
        <f>Table1[[#This Row],[Amount]]-INDEX(Table2[], MATCH(Table1[[#This Row],[Account]],Table2[Account],0), 2) + INDEX(Table2[], MATCH(Table1[[#This Row],[Account]],Table2[Account],0), 3)</f>
        <v>-14938</v>
      </c>
      <c r="E20" s="100">
        <f>Table1[[#This Row],[P/L]]/INDEX(Table2[], MATCH(Table1[[#This Row],[Account]], Table2[Account],0),2)</f>
        <v>-0.87870588235294123</v>
      </c>
    </row>
    <row r="21" spans="1:5" x14ac:dyDescent="0.2">
      <c r="A21" s="50">
        <v>46157</v>
      </c>
      <c r="B21" t="s">
        <v>132</v>
      </c>
      <c r="C21" s="19">
        <v>15850</v>
      </c>
      <c r="D21" s="19">
        <f>Table1[[#This Row],[Amount]]-INDEX(Table2[], MATCH(Table1[[#This Row],[Account]],Table2[Account],0), 2) + INDEX(Table2[], MATCH(Table1[[#This Row],[Account]],Table2[Account],0), 3)</f>
        <v>3850</v>
      </c>
      <c r="E21" s="100">
        <f>Table1[[#This Row],[P/L]]/INDEX(Table2[], MATCH(Table1[[#This Row],[Account]], Table2[Account],0),2)</f>
        <v>0.32083333333333336</v>
      </c>
    </row>
    <row r="22" spans="1:5" x14ac:dyDescent="0.2">
      <c r="A22" s="50">
        <v>46157</v>
      </c>
      <c r="B22" t="s">
        <v>142</v>
      </c>
      <c r="C22" s="19">
        <v>5482</v>
      </c>
      <c r="D22" s="19">
        <f>Table1[[#This Row],[Amount]]-INDEX(Table2[], MATCH(Table1[[#This Row],[Account]],Table2[Account],0), 2) + INDEX(Table2[], MATCH(Table1[[#This Row],[Account]],Table2[Account],0), 3)</f>
        <v>1482</v>
      </c>
      <c r="E22" s="100">
        <f>Table1[[#This Row],[P/L]]/INDEX(Table2[], MATCH(Table1[[#This Row],[Account]], Table2[Account],0),2)</f>
        <v>0.3705</v>
      </c>
    </row>
    <row r="23" spans="1:5" x14ac:dyDescent="0.2">
      <c r="A23" s="50">
        <v>46157</v>
      </c>
      <c r="B23" t="s">
        <v>14</v>
      </c>
      <c r="C23" s="19">
        <v>1500</v>
      </c>
      <c r="D23" s="19">
        <f>Table1[[#This Row],[Amount]]-INDEX(Table2[], MATCH(Table1[[#This Row],[Account]],Table2[Account],0), 2) + INDEX(Table2[], MATCH(Table1[[#This Row],[Account]],Table2[Account],0), 3)</f>
        <v>118</v>
      </c>
      <c r="E23" s="100">
        <f>Table1[[#This Row],[P/L]]/INDEX(Table2[], MATCH(Table1[[#This Row],[Account]], Table2[Account],0),2)</f>
        <v>2.9316770186335404E-2</v>
      </c>
    </row>
    <row r="24" spans="1:5" x14ac:dyDescent="0.2">
      <c r="A24" s="50">
        <v>46157</v>
      </c>
      <c r="B24" t="s">
        <v>87</v>
      </c>
      <c r="C24" s="19">
        <v>1045</v>
      </c>
      <c r="D24" s="19" t="e">
        <f>Table1[[#This Row],[Amount]]-INDEX(Table2[], MATCH(Table1[[#This Row],[Account]],Table2[Account],0), 2) + INDEX(Table2[], MATCH(Table1[[#This Row],[Account]],Table2[Account],0), 3)</f>
        <v>#N/A</v>
      </c>
      <c r="E24" s="100" t="e">
        <f>Table1[[#This Row],[P/L]]/INDEX(Table2[], MATCH(Table1[[#This Row],[Account]], Table2[Account],0),2)</f>
        <v>#N/A</v>
      </c>
    </row>
    <row r="25" spans="1:5" x14ac:dyDescent="0.2">
      <c r="A25" s="50">
        <v>46157</v>
      </c>
      <c r="B25" t="s">
        <v>86</v>
      </c>
      <c r="C25" s="19">
        <v>230</v>
      </c>
      <c r="D25" s="19" t="e">
        <f>Table1[[#This Row],[Amount]]-INDEX(Table2[], MATCH(Table1[[#This Row],[Account]],Table2[Account],0), 2) + INDEX(Table2[], MATCH(Table1[[#This Row],[Account]],Table2[Account],0), 3)</f>
        <v>#N/A</v>
      </c>
      <c r="E25" s="100" t="e">
        <f>Table1[[#This Row],[P/L]]/INDEX(Table2[], MATCH(Table1[[#This Row],[Account]], Table2[Account],0),2)</f>
        <v>#N/A</v>
      </c>
    </row>
    <row r="26" spans="1:5" x14ac:dyDescent="0.2">
      <c r="A26" s="50">
        <v>46157</v>
      </c>
      <c r="B26" t="s">
        <v>15</v>
      </c>
      <c r="C26" s="19">
        <v>0</v>
      </c>
      <c r="D26" s="19" t="e">
        <f>Table1[[#This Row],[Amount]]-INDEX(Table2[], MATCH(Table1[[#This Row],[Account]],Table2[Account],0), 2) + INDEX(Table2[], MATCH(Table1[[#This Row],[Account]],Table2[Account],0), 3)</f>
        <v>#N/A</v>
      </c>
      <c r="E26" s="100" t="e">
        <f>Table1[[#This Row],[P/L]]/INDEX(Table2[], MATCH(Table1[[#This Row],[Account]], Table2[Account],0),2)</f>
        <v>#N/A</v>
      </c>
    </row>
    <row r="27" spans="1:5" x14ac:dyDescent="0.2">
      <c r="A27" s="50">
        <v>46157</v>
      </c>
      <c r="B27" t="s">
        <v>88</v>
      </c>
      <c r="C27" s="19">
        <v>597</v>
      </c>
      <c r="D27" s="19">
        <f>Table1[[#This Row],[Amount]]-INDEX(Table2[], MATCH(Table1[[#This Row],[Account]],Table2[Account],0), 2) + INDEX(Table2[], MATCH(Table1[[#This Row],[Account]],Table2[Account],0), 3)</f>
        <v>597</v>
      </c>
      <c r="E27" s="100" t="e">
        <f>Table1[[#This Row],[P/L]]/INDEX(Table2[], MATCH(Table1[[#This Row],[Account]], Table2[Account],0),2)</f>
        <v>#DIV/0!</v>
      </c>
    </row>
    <row r="28" spans="1:5" x14ac:dyDescent="0.2">
      <c r="A28" s="50">
        <v>46118</v>
      </c>
      <c r="B28" s="50" t="s">
        <v>188</v>
      </c>
      <c r="C28" s="19">
        <v>2055.4499999999998</v>
      </c>
      <c r="D28" s="19">
        <f>Table1[[#This Row],[Amount]]-INDEX(Table2[], MATCH(Table1[[#This Row],[Account]],Table2[Account],0), 2) + INDEX(Table2[], MATCH(Table1[[#This Row],[Account]],Table2[Account],0), 3)</f>
        <v>-14944.55</v>
      </c>
      <c r="E28" s="100">
        <f>Table1[[#This Row],[P/L]]/INDEX(Table2[], MATCH(Table1[[#This Row],[Account]], Table2[Account],0),2)</f>
        <v>-0.87909117647058821</v>
      </c>
    </row>
    <row r="29" spans="1:5" x14ac:dyDescent="0.2">
      <c r="A29" s="50">
        <v>46118</v>
      </c>
      <c r="B29" t="s">
        <v>132</v>
      </c>
      <c r="C29" s="19">
        <v>15800</v>
      </c>
      <c r="D29" s="19">
        <f>Table1[[#This Row],[Amount]]-INDEX(Table2[], MATCH(Table1[[#This Row],[Account]],Table2[Account],0), 2) + INDEX(Table2[], MATCH(Table1[[#This Row],[Account]],Table2[Account],0), 3)</f>
        <v>3800</v>
      </c>
      <c r="E29" s="100">
        <f>Table1[[#This Row],[P/L]]/INDEX(Table2[], MATCH(Table1[[#This Row],[Account]], Table2[Account],0),2)</f>
        <v>0.31666666666666665</v>
      </c>
    </row>
    <row r="30" spans="1:5" x14ac:dyDescent="0.2">
      <c r="A30" s="50">
        <v>46118</v>
      </c>
      <c r="B30" t="s">
        <v>142</v>
      </c>
      <c r="C30" s="19">
        <v>4961</v>
      </c>
      <c r="D30" s="19">
        <f>Table1[[#This Row],[Amount]]-INDEX(Table2[], MATCH(Table1[[#This Row],[Account]],Table2[Account],0), 2) + INDEX(Table2[], MATCH(Table1[[#This Row],[Account]],Table2[Account],0), 3)</f>
        <v>961</v>
      </c>
      <c r="E30" s="100">
        <f>Table1[[#This Row],[P/L]]/INDEX(Table2[], MATCH(Table1[[#This Row],[Account]], Table2[Account],0),2)</f>
        <v>0.24024999999999999</v>
      </c>
    </row>
    <row r="31" spans="1:5" x14ac:dyDescent="0.2">
      <c r="A31" s="50">
        <v>46118</v>
      </c>
      <c r="B31" t="s">
        <v>14</v>
      </c>
      <c r="C31" s="19">
        <v>1267</v>
      </c>
      <c r="D31" s="19">
        <f>Table1[[#This Row],[Amount]]-INDEX(Table2[], MATCH(Table1[[#This Row],[Account]],Table2[Account],0), 2) + INDEX(Table2[], MATCH(Table1[[#This Row],[Account]],Table2[Account],0), 3)</f>
        <v>-115</v>
      </c>
      <c r="E31" s="100">
        <f>Table1[[#This Row],[P/L]]/INDEX(Table2[], MATCH(Table1[[#This Row],[Account]], Table2[Account],0),2)</f>
        <v>-2.8571428571428571E-2</v>
      </c>
    </row>
    <row r="32" spans="1:5" x14ac:dyDescent="0.2">
      <c r="A32" s="50">
        <v>46118</v>
      </c>
      <c r="B32" t="s">
        <v>87</v>
      </c>
      <c r="C32" s="19">
        <v>978.18</v>
      </c>
      <c r="D32" s="19" t="e">
        <f>Table1[[#This Row],[Amount]]-INDEX(Table2[], MATCH(Table1[[#This Row],[Account]],Table2[Account],0), 2) + INDEX(Table2[], MATCH(Table1[[#This Row],[Account]],Table2[Account],0), 3)</f>
        <v>#N/A</v>
      </c>
      <c r="E32" s="100" t="e">
        <f>Table1[[#This Row],[P/L]]/INDEX(Table2[], MATCH(Table1[[#This Row],[Account]], Table2[Account],0),2)</f>
        <v>#N/A</v>
      </c>
    </row>
    <row r="33" spans="1:5" x14ac:dyDescent="0.2">
      <c r="A33" s="50">
        <v>46118</v>
      </c>
      <c r="B33" t="s">
        <v>86</v>
      </c>
      <c r="C33" s="19">
        <v>230</v>
      </c>
      <c r="D33" s="19" t="e">
        <f>Table1[[#This Row],[Amount]]-INDEX(Table2[], MATCH(Table1[[#This Row],[Account]],Table2[Account],0), 2) + INDEX(Table2[], MATCH(Table1[[#This Row],[Account]],Table2[Account],0), 3)</f>
        <v>#N/A</v>
      </c>
      <c r="E33" s="100" t="e">
        <f>Table1[[#This Row],[P/L]]/INDEX(Table2[], MATCH(Table1[[#This Row],[Account]], Table2[Account],0),2)</f>
        <v>#N/A</v>
      </c>
    </row>
    <row r="34" spans="1:5" x14ac:dyDescent="0.2">
      <c r="A34" s="50">
        <v>46118</v>
      </c>
      <c r="B34" t="s">
        <v>15</v>
      </c>
      <c r="C34" s="19">
        <v>0</v>
      </c>
      <c r="D34" s="19" t="e">
        <f>Table1[[#This Row],[Amount]]-INDEX(Table2[], MATCH(Table1[[#This Row],[Account]],Table2[Account],0), 2) + INDEX(Table2[], MATCH(Table1[[#This Row],[Account]],Table2[Account],0), 3)</f>
        <v>#N/A</v>
      </c>
      <c r="E34" s="100" t="e">
        <f>Table1[[#This Row],[P/L]]/INDEX(Table2[], MATCH(Table1[[#This Row],[Account]], Table2[Account],0),2)</f>
        <v>#N/A</v>
      </c>
    </row>
    <row r="35" spans="1:5" x14ac:dyDescent="0.2">
      <c r="A35" s="50">
        <v>46118</v>
      </c>
      <c r="B35" t="s">
        <v>88</v>
      </c>
      <c r="C35" s="19">
        <v>596.6</v>
      </c>
      <c r="D35" s="19">
        <f>Table1[[#This Row],[Amount]]-INDEX(Table2[], MATCH(Table1[[#This Row],[Account]],Table2[Account],0), 2) + INDEX(Table2[], MATCH(Table1[[#This Row],[Account]],Table2[Account],0), 3)</f>
        <v>596.6</v>
      </c>
      <c r="E35" s="100" t="e">
        <f>Table1[[#This Row],[P/L]]/INDEX(Table2[], MATCH(Table1[[#This Row],[Account]], Table2[Account],0),2)</f>
        <v>#DIV/0!</v>
      </c>
    </row>
    <row r="36" spans="1:5" x14ac:dyDescent="0.2">
      <c r="A36" s="50">
        <v>46063</v>
      </c>
      <c r="B36" t="s">
        <v>132</v>
      </c>
      <c r="C36" s="19">
        <v>15733</v>
      </c>
      <c r="D36" s="19">
        <f>Table1[[#This Row],[Amount]]-INDEX(Table2[], MATCH(Table1[[#This Row],[Account]],Table2[Account],0), 2) + INDEX(Table2[], MATCH(Table1[[#This Row],[Account]],Table2[Account],0), 3)</f>
        <v>3733</v>
      </c>
      <c r="E36" s="100">
        <f>Table1[[#This Row],[P/L]]/INDEX(Table2[], MATCH(Table1[[#This Row],[Account]], Table2[Account],0),2)</f>
        <v>0.31108333333333332</v>
      </c>
    </row>
    <row r="37" spans="1:5" x14ac:dyDescent="0.2">
      <c r="A37" s="50">
        <v>46063</v>
      </c>
      <c r="B37" t="s">
        <v>142</v>
      </c>
      <c r="C37" s="19">
        <v>5087</v>
      </c>
      <c r="D37" s="19">
        <f>Table1[[#This Row],[Amount]]-INDEX(Table2[], MATCH(Table1[[#This Row],[Account]],Table2[Account],0), 2) + INDEX(Table2[], MATCH(Table1[[#This Row],[Account]],Table2[Account],0), 3)</f>
        <v>1087</v>
      </c>
      <c r="E37" s="100">
        <f>Table1[[#This Row],[P/L]]/INDEX(Table2[], MATCH(Table1[[#This Row],[Account]], Table2[Account],0),2)</f>
        <v>0.27174999999999999</v>
      </c>
    </row>
    <row r="38" spans="1:5" x14ac:dyDescent="0.2">
      <c r="A38" s="50">
        <v>46063</v>
      </c>
      <c r="B38" t="s">
        <v>14</v>
      </c>
      <c r="C38" s="19">
        <v>1500</v>
      </c>
      <c r="D38" s="19">
        <f>Table1[[#This Row],[Amount]]-INDEX(Table2[], MATCH(Table1[[#This Row],[Account]],Table2[Account],0), 2) + INDEX(Table2[], MATCH(Table1[[#This Row],[Account]],Table2[Account],0), 3)</f>
        <v>118</v>
      </c>
      <c r="E38" s="100">
        <f>Table1[[#This Row],[P/L]]/INDEX(Table2[], MATCH(Table1[[#This Row],[Account]], Table2[Account],0),2)</f>
        <v>2.9316770186335404E-2</v>
      </c>
    </row>
    <row r="39" spans="1:5" x14ac:dyDescent="0.2">
      <c r="A39" s="50">
        <v>46063</v>
      </c>
      <c r="B39" t="s">
        <v>87</v>
      </c>
      <c r="C39" s="19">
        <v>451</v>
      </c>
      <c r="D39" s="19" t="e">
        <f>Table1[[#This Row],[Amount]]-INDEX(Table2[], MATCH(Table1[[#This Row],[Account]],Table2[Account],0), 2) + INDEX(Table2[], MATCH(Table1[[#This Row],[Account]],Table2[Account],0), 3)</f>
        <v>#N/A</v>
      </c>
      <c r="E39" s="100" t="e">
        <f>Table1[[#This Row],[P/L]]/INDEX(Table2[], MATCH(Table1[[#This Row],[Account]], Table2[Account],0),2)</f>
        <v>#N/A</v>
      </c>
    </row>
    <row r="40" spans="1:5" x14ac:dyDescent="0.2">
      <c r="A40" s="50">
        <v>46063</v>
      </c>
      <c r="B40" t="s">
        <v>86</v>
      </c>
      <c r="C40" s="19">
        <v>230</v>
      </c>
      <c r="D40" s="19" t="e">
        <f>Table1[[#This Row],[Amount]]-INDEX(Table2[], MATCH(Table1[[#This Row],[Account]],Table2[Account],0), 2) + INDEX(Table2[], MATCH(Table1[[#This Row],[Account]],Table2[Account],0), 3)</f>
        <v>#N/A</v>
      </c>
      <c r="E40" s="100" t="e">
        <f>Table1[[#This Row],[P/L]]/INDEX(Table2[], MATCH(Table1[[#This Row],[Account]], Table2[Account],0),2)</f>
        <v>#N/A</v>
      </c>
    </row>
    <row r="41" spans="1:5" x14ac:dyDescent="0.2">
      <c r="A41" s="50">
        <v>46063</v>
      </c>
      <c r="B41" t="s">
        <v>15</v>
      </c>
      <c r="C41" s="19">
        <v>0</v>
      </c>
      <c r="D41" s="19" t="e">
        <f>Table1[[#This Row],[Amount]]-INDEX(Table2[], MATCH(Table1[[#This Row],[Account]],Table2[Account],0), 2) + INDEX(Table2[], MATCH(Table1[[#This Row],[Account]],Table2[Account],0), 3)</f>
        <v>#N/A</v>
      </c>
      <c r="E41" s="100" t="e">
        <f>Table1[[#This Row],[P/L]]/INDEX(Table2[], MATCH(Table1[[#This Row],[Account]], Table2[Account],0),2)</f>
        <v>#N/A</v>
      </c>
    </row>
    <row r="42" spans="1:5" x14ac:dyDescent="0.2">
      <c r="A42" s="50">
        <v>46063</v>
      </c>
      <c r="B42" t="s">
        <v>88</v>
      </c>
      <c r="C42" s="19">
        <v>3607</v>
      </c>
      <c r="D42" s="19">
        <f>Table1[[#This Row],[Amount]]-INDEX(Table2[], MATCH(Table1[[#This Row],[Account]],Table2[Account],0), 2) + INDEX(Table2[], MATCH(Table1[[#This Row],[Account]],Table2[Account],0), 3)</f>
        <v>3607</v>
      </c>
      <c r="E42" s="100" t="e">
        <f>Table1[[#This Row],[P/L]]/INDEX(Table2[], MATCH(Table1[[#This Row],[Account]], Table2[Account],0),2)</f>
        <v>#DIV/0!</v>
      </c>
    </row>
    <row r="43" spans="1:5" x14ac:dyDescent="0.2">
      <c r="A43" s="50">
        <v>46021</v>
      </c>
      <c r="B43" t="s">
        <v>132</v>
      </c>
      <c r="C43" s="19">
        <v>15538</v>
      </c>
      <c r="D43" s="19">
        <f>Table1[[#This Row],[Amount]]-INDEX(Table2[], MATCH(Table1[[#This Row],[Account]],Table2[Account],0), 2) + INDEX(Table2[], MATCH(Table1[[#This Row],[Account]],Table2[Account],0), 3)</f>
        <v>3538</v>
      </c>
      <c r="E43" s="100">
        <f>Table1[[#This Row],[P/L]]/INDEX(Table2[], MATCH(Table1[[#This Row],[Account]], Table2[Account],0),2)</f>
        <v>0.29483333333333334</v>
      </c>
    </row>
    <row r="44" spans="1:5" x14ac:dyDescent="0.2">
      <c r="A44" s="50">
        <v>46021</v>
      </c>
      <c r="B44" t="s">
        <v>142</v>
      </c>
      <c r="C44" s="19">
        <v>4972</v>
      </c>
      <c r="D44" s="19">
        <f>Table1[[#This Row],[Amount]]-INDEX(Table2[], MATCH(Table1[[#This Row],[Account]],Table2[Account],0), 2) + INDEX(Table2[], MATCH(Table1[[#This Row],[Account]],Table2[Account],0), 3)</f>
        <v>972</v>
      </c>
      <c r="E44" s="100">
        <f>Table1[[#This Row],[P/L]]/INDEX(Table2[], MATCH(Table1[[#This Row],[Account]], Table2[Account],0),2)</f>
        <v>0.24299999999999999</v>
      </c>
    </row>
    <row r="45" spans="1:5" x14ac:dyDescent="0.2">
      <c r="A45" s="50">
        <v>46021</v>
      </c>
      <c r="B45" t="s">
        <v>14</v>
      </c>
      <c r="C45" s="19">
        <v>1700</v>
      </c>
      <c r="D45" s="19">
        <f>Table1[[#This Row],[Amount]]-INDEX(Table2[], MATCH(Table1[[#This Row],[Account]],Table2[Account],0), 2) + INDEX(Table2[], MATCH(Table1[[#This Row],[Account]],Table2[Account],0), 3)</f>
        <v>318</v>
      </c>
      <c r="E45" s="100">
        <f>Table1[[#This Row],[P/L]]/INDEX(Table2[], MATCH(Table1[[#This Row],[Account]], Table2[Account],0),2)</f>
        <v>7.9006211180124228E-2</v>
      </c>
    </row>
    <row r="46" spans="1:5" x14ac:dyDescent="0.2">
      <c r="A46" s="50">
        <v>46021</v>
      </c>
      <c r="B46" t="s">
        <v>87</v>
      </c>
      <c r="C46" s="19">
        <v>1720</v>
      </c>
      <c r="D46" s="19" t="e">
        <f>Table1[[#This Row],[Amount]]-INDEX(Table2[], MATCH(Table1[[#This Row],[Account]],Table2[Account],0), 2) + INDEX(Table2[], MATCH(Table1[[#This Row],[Account]],Table2[Account],0), 3)</f>
        <v>#N/A</v>
      </c>
      <c r="E46" s="100" t="e">
        <f>Table1[[#This Row],[P/L]]/INDEX(Table2[], MATCH(Table1[[#This Row],[Account]], Table2[Account],0),2)</f>
        <v>#N/A</v>
      </c>
    </row>
    <row r="47" spans="1:5" x14ac:dyDescent="0.2">
      <c r="A47" s="50">
        <v>46021</v>
      </c>
      <c r="B47" t="s">
        <v>86</v>
      </c>
      <c r="C47" s="19">
        <v>194</v>
      </c>
      <c r="D47" s="19" t="e">
        <f>Table1[[#This Row],[Amount]]-INDEX(Table2[], MATCH(Table1[[#This Row],[Account]],Table2[Account],0), 2) + INDEX(Table2[], MATCH(Table1[[#This Row],[Account]],Table2[Account],0), 3)</f>
        <v>#N/A</v>
      </c>
      <c r="E47" s="100" t="e">
        <f>Table1[[#This Row],[P/L]]/INDEX(Table2[], MATCH(Table1[[#This Row],[Account]], Table2[Account],0),2)</f>
        <v>#N/A</v>
      </c>
    </row>
    <row r="48" spans="1:5" x14ac:dyDescent="0.2">
      <c r="A48" s="50">
        <v>46021</v>
      </c>
      <c r="B48" t="s">
        <v>15</v>
      </c>
      <c r="C48" s="19">
        <v>0</v>
      </c>
      <c r="D48" s="19" t="e">
        <f>Table1[[#This Row],[Amount]]-INDEX(Table2[], MATCH(Table1[[#This Row],[Account]],Table2[Account],0), 2) + INDEX(Table2[], MATCH(Table1[[#This Row],[Account]],Table2[Account],0), 3)</f>
        <v>#N/A</v>
      </c>
      <c r="E48" s="100" t="e">
        <f>Table1[[#This Row],[P/L]]/INDEX(Table2[], MATCH(Table1[[#This Row],[Account]], Table2[Account],0),2)</f>
        <v>#N/A</v>
      </c>
    </row>
    <row r="49" spans="1:5" x14ac:dyDescent="0.2">
      <c r="A49" s="50">
        <v>46021</v>
      </c>
      <c r="B49" t="s">
        <v>88</v>
      </c>
      <c r="C49" s="19">
        <v>4824</v>
      </c>
      <c r="D49" s="19">
        <f>Table1[[#This Row],[Amount]]-INDEX(Table2[], MATCH(Table1[[#This Row],[Account]],Table2[Account],0), 2) + INDEX(Table2[], MATCH(Table1[[#This Row],[Account]],Table2[Account],0), 3)</f>
        <v>4824</v>
      </c>
      <c r="E49" s="100" t="e">
        <f>Table1[[#This Row],[P/L]]/INDEX(Table2[], MATCH(Table1[[#This Row],[Account]], Table2[Account],0),2)</f>
        <v>#DIV/0!</v>
      </c>
    </row>
    <row r="50" spans="1:5" x14ac:dyDescent="0.2">
      <c r="A50" s="50">
        <v>46000</v>
      </c>
      <c r="B50" t="s">
        <v>132</v>
      </c>
      <c r="C50" s="19">
        <v>15511</v>
      </c>
      <c r="D50" s="19">
        <f>Table1[[#This Row],[Amount]]-INDEX(Table2[], MATCH(Table1[[#This Row],[Account]],Table2[Account],0), 2) + INDEX(Table2[], MATCH(Table1[[#This Row],[Account]],Table2[Account],0), 3)</f>
        <v>3511</v>
      </c>
      <c r="E50" s="100">
        <f>Table1[[#This Row],[P/L]]/INDEX(Table2[], MATCH(Table1[[#This Row],[Account]], Table2[Account],0),2)</f>
        <v>0.29258333333333331</v>
      </c>
    </row>
    <row r="51" spans="1:5" x14ac:dyDescent="0.2">
      <c r="A51" s="50">
        <v>46000</v>
      </c>
      <c r="B51" t="s">
        <v>142</v>
      </c>
      <c r="C51" s="19">
        <v>4976.05</v>
      </c>
      <c r="D51" s="19">
        <f>Table1[[#This Row],[Amount]]-INDEX(Table2[], MATCH(Table1[[#This Row],[Account]],Table2[Account],0), 2) + INDEX(Table2[], MATCH(Table1[[#This Row],[Account]],Table2[Account],0), 3)</f>
        <v>976.05000000000018</v>
      </c>
      <c r="E51" s="100">
        <f>Table1[[#This Row],[P/L]]/INDEX(Table2[], MATCH(Table1[[#This Row],[Account]], Table2[Account],0),2)</f>
        <v>0.24401250000000005</v>
      </c>
    </row>
    <row r="52" spans="1:5" x14ac:dyDescent="0.2">
      <c r="A52" s="50">
        <v>46000</v>
      </c>
      <c r="B52" t="s">
        <v>14</v>
      </c>
      <c r="C52" s="19">
        <v>1741</v>
      </c>
      <c r="D52" s="19">
        <f>Table1[[#This Row],[Amount]]-INDEX(Table2[], MATCH(Table1[[#This Row],[Account]],Table2[Account],0), 2) + INDEX(Table2[], MATCH(Table1[[#This Row],[Account]],Table2[Account],0), 3)</f>
        <v>359</v>
      </c>
      <c r="E52" s="100">
        <f>Table1[[#This Row],[P/L]]/INDEX(Table2[], MATCH(Table1[[#This Row],[Account]], Table2[Account],0),2)</f>
        <v>8.9192546583850937E-2</v>
      </c>
    </row>
    <row r="53" spans="1:5" x14ac:dyDescent="0.2">
      <c r="A53" s="50">
        <v>46000</v>
      </c>
      <c r="B53" t="s">
        <v>87</v>
      </c>
      <c r="C53" s="19">
        <v>1070</v>
      </c>
      <c r="D53" s="19" t="e">
        <f>Table1[[#This Row],[Amount]]-INDEX(Table2[], MATCH(Table1[[#This Row],[Account]],Table2[Account],0), 2) + INDEX(Table2[], MATCH(Table1[[#This Row],[Account]],Table2[Account],0), 3)</f>
        <v>#N/A</v>
      </c>
      <c r="E53" s="100" t="e">
        <f>Table1[[#This Row],[P/L]]/INDEX(Table2[], MATCH(Table1[[#This Row],[Account]], Table2[Account],0),2)</f>
        <v>#N/A</v>
      </c>
    </row>
    <row r="54" spans="1:5" x14ac:dyDescent="0.2">
      <c r="A54" s="50">
        <v>46000</v>
      </c>
      <c r="B54" t="s">
        <v>86</v>
      </c>
      <c r="C54" s="19">
        <v>169</v>
      </c>
      <c r="D54" s="19" t="e">
        <f>Table1[[#This Row],[Amount]]-INDEX(Table2[], MATCH(Table1[[#This Row],[Account]],Table2[Account],0), 2) + INDEX(Table2[], MATCH(Table1[[#This Row],[Account]],Table2[Account],0), 3)</f>
        <v>#N/A</v>
      </c>
      <c r="E54" s="100" t="e">
        <f>Table1[[#This Row],[P/L]]/INDEX(Table2[], MATCH(Table1[[#This Row],[Account]], Table2[Account],0),2)</f>
        <v>#N/A</v>
      </c>
    </row>
    <row r="55" spans="1:5" x14ac:dyDescent="0.2">
      <c r="A55" s="50">
        <v>46000</v>
      </c>
      <c r="B55" t="s">
        <v>15</v>
      </c>
      <c r="C55" s="19">
        <v>110</v>
      </c>
      <c r="D55" s="19" t="e">
        <f>Table1[[#This Row],[Amount]]-INDEX(Table2[], MATCH(Table1[[#This Row],[Account]],Table2[Account],0), 2) + INDEX(Table2[], MATCH(Table1[[#This Row],[Account]],Table2[Account],0), 3)</f>
        <v>#N/A</v>
      </c>
      <c r="E55" s="100" t="e">
        <f>Table1[[#This Row],[P/L]]/INDEX(Table2[], MATCH(Table1[[#This Row],[Account]], Table2[Account],0),2)</f>
        <v>#N/A</v>
      </c>
    </row>
    <row r="56" spans="1:5" x14ac:dyDescent="0.2">
      <c r="A56" s="50">
        <v>46000</v>
      </c>
      <c r="B56" t="s">
        <v>88</v>
      </c>
      <c r="C56" s="19">
        <v>4024</v>
      </c>
      <c r="D56" s="19">
        <f>Table1[[#This Row],[Amount]]-INDEX(Table2[], MATCH(Table1[[#This Row],[Account]],Table2[Account],0), 2) + INDEX(Table2[], MATCH(Table1[[#This Row],[Account]],Table2[Account],0), 3)</f>
        <v>4024</v>
      </c>
      <c r="E56" s="100" t="e">
        <f>Table1[[#This Row],[P/L]]/INDEX(Table2[], MATCH(Table1[[#This Row],[Account]], Table2[Account],0),2)</f>
        <v>#DIV/0!</v>
      </c>
    </row>
    <row r="57" spans="1:5" x14ac:dyDescent="0.2">
      <c r="A57" s="50">
        <v>45962</v>
      </c>
      <c r="B57" t="s">
        <v>132</v>
      </c>
      <c r="C57" s="19">
        <v>15462</v>
      </c>
      <c r="D57" s="19">
        <f>Table1[[#This Row],[Amount]]-INDEX(Table2[], MATCH(Table1[[#This Row],[Account]],Table2[Account],0), 2) + INDEX(Table2[], MATCH(Table1[[#This Row],[Account]],Table2[Account],0), 3)</f>
        <v>3462</v>
      </c>
      <c r="E57" s="100">
        <f>Table1[[#This Row],[P/L]]/INDEX(Table2[], MATCH(Table1[[#This Row],[Account]], Table2[Account],0),2)</f>
        <v>0.28849999999999998</v>
      </c>
    </row>
    <row r="58" spans="1:5" x14ac:dyDescent="0.2">
      <c r="A58" s="50">
        <v>45962</v>
      </c>
      <c r="B58" t="s">
        <v>142</v>
      </c>
      <c r="C58" s="19">
        <v>5022</v>
      </c>
      <c r="D58" s="19">
        <f>Table1[[#This Row],[Amount]]-INDEX(Table2[], MATCH(Table1[[#This Row],[Account]],Table2[Account],0), 2) + INDEX(Table2[], MATCH(Table1[[#This Row],[Account]],Table2[Account],0), 3)</f>
        <v>1022</v>
      </c>
      <c r="E58" s="100">
        <f>Table1[[#This Row],[P/L]]/INDEX(Table2[], MATCH(Table1[[#This Row],[Account]], Table2[Account],0),2)</f>
        <v>0.2555</v>
      </c>
    </row>
    <row r="59" spans="1:5" x14ac:dyDescent="0.2">
      <c r="A59" s="50">
        <v>45962</v>
      </c>
      <c r="B59" t="s">
        <v>14</v>
      </c>
      <c r="C59" s="19">
        <v>2225.0100000000002</v>
      </c>
      <c r="D59" s="19">
        <f>Table1[[#This Row],[Amount]]-INDEX(Table2[], MATCH(Table1[[#This Row],[Account]],Table2[Account],0), 2) + INDEX(Table2[], MATCH(Table1[[#This Row],[Account]],Table2[Account],0), 3)</f>
        <v>843.01000000000022</v>
      </c>
      <c r="E59" s="100">
        <f>Table1[[#This Row],[P/L]]/INDEX(Table2[], MATCH(Table1[[#This Row],[Account]], Table2[Account],0),2)</f>
        <v>0.20944347826086962</v>
      </c>
    </row>
    <row r="60" spans="1:5" x14ac:dyDescent="0.2">
      <c r="A60" s="50">
        <v>45962</v>
      </c>
      <c r="B60" t="s">
        <v>87</v>
      </c>
      <c r="C60" s="19">
        <v>969</v>
      </c>
      <c r="D60" s="19" t="e">
        <f>Table1[[#This Row],[Amount]]-INDEX(Table2[], MATCH(Table1[[#This Row],[Account]],Table2[Account],0), 2) + INDEX(Table2[], MATCH(Table1[[#This Row],[Account]],Table2[Account],0), 3)</f>
        <v>#N/A</v>
      </c>
      <c r="E60" s="100" t="e">
        <f>Table1[[#This Row],[P/L]]/INDEX(Table2[], MATCH(Table1[[#This Row],[Account]], Table2[Account],0),2)</f>
        <v>#N/A</v>
      </c>
    </row>
    <row r="61" spans="1:5" x14ac:dyDescent="0.2">
      <c r="A61" s="50">
        <v>45962</v>
      </c>
      <c r="B61" t="s">
        <v>86</v>
      </c>
      <c r="C61" s="19">
        <v>120</v>
      </c>
      <c r="D61" s="19" t="e">
        <f>Table1[[#This Row],[Amount]]-INDEX(Table2[], MATCH(Table1[[#This Row],[Account]],Table2[Account],0), 2) + INDEX(Table2[], MATCH(Table1[[#This Row],[Account]],Table2[Account],0), 3)</f>
        <v>#N/A</v>
      </c>
      <c r="E61" s="100" t="e">
        <f>Table1[[#This Row],[P/L]]/INDEX(Table2[], MATCH(Table1[[#This Row],[Account]], Table2[Account],0),2)</f>
        <v>#N/A</v>
      </c>
    </row>
    <row r="62" spans="1:5" x14ac:dyDescent="0.2">
      <c r="A62" s="50">
        <v>45962</v>
      </c>
      <c r="B62" t="s">
        <v>15</v>
      </c>
      <c r="C62" s="19">
        <v>0</v>
      </c>
      <c r="D62" s="19" t="e">
        <f>Table1[[#This Row],[Amount]]-INDEX(Table2[], MATCH(Table1[[#This Row],[Account]],Table2[Account],0), 2) + INDEX(Table2[], MATCH(Table1[[#This Row],[Account]],Table2[Account],0), 3)</f>
        <v>#N/A</v>
      </c>
      <c r="E62" s="100" t="e">
        <f>Table1[[#This Row],[P/L]]/INDEX(Table2[], MATCH(Table1[[#This Row],[Account]], Table2[Account],0),2)</f>
        <v>#N/A</v>
      </c>
    </row>
    <row r="63" spans="1:5" x14ac:dyDescent="0.2">
      <c r="A63" s="50">
        <v>45962</v>
      </c>
      <c r="B63" t="s">
        <v>88</v>
      </c>
      <c r="C63" s="19">
        <v>4205</v>
      </c>
      <c r="D63" s="19">
        <f>Table1[[#This Row],[Amount]]-INDEX(Table2[], MATCH(Table1[[#This Row],[Account]],Table2[Account],0), 2) + INDEX(Table2[], MATCH(Table1[[#This Row],[Account]],Table2[Account],0), 3)</f>
        <v>4205</v>
      </c>
      <c r="E63" s="100" t="e">
        <f>Table1[[#This Row],[P/L]]/INDEX(Table2[], MATCH(Table1[[#This Row],[Account]], Table2[Account],0),2)</f>
        <v>#DIV/0!</v>
      </c>
    </row>
    <row r="64" spans="1:5" x14ac:dyDescent="0.2">
      <c r="A64" s="50">
        <v>45872</v>
      </c>
      <c r="B64" t="s">
        <v>132</v>
      </c>
      <c r="C64" s="19">
        <v>15346</v>
      </c>
      <c r="D64" s="19">
        <f>Table1[[#This Row],[Amount]]-INDEX(Table2[], MATCH(Table1[[#This Row],[Account]],Table2[Account],0), 2) + INDEX(Table2[], MATCH(Table1[[#This Row],[Account]],Table2[Account],0), 3)</f>
        <v>3346</v>
      </c>
      <c r="E64" s="100">
        <f>Table1[[#This Row],[P/L]]/INDEX(Table2[], MATCH(Table1[[#This Row],[Account]], Table2[Account],0),2)</f>
        <v>0.27883333333333332</v>
      </c>
    </row>
    <row r="65" spans="1:5" x14ac:dyDescent="0.2">
      <c r="A65" s="50">
        <v>45872</v>
      </c>
      <c r="B65" t="s">
        <v>142</v>
      </c>
      <c r="C65" s="19">
        <v>4525</v>
      </c>
      <c r="D65" s="19">
        <f>Table1[[#This Row],[Amount]]-INDEX(Table2[], MATCH(Table1[[#This Row],[Account]],Table2[Account],0), 2) + INDEX(Table2[], MATCH(Table1[[#This Row],[Account]],Table2[Account],0), 3)</f>
        <v>525</v>
      </c>
      <c r="E65" s="100">
        <f>Table1[[#This Row],[P/L]]/INDEX(Table2[], MATCH(Table1[[#This Row],[Account]], Table2[Account],0),2)</f>
        <v>0.13125000000000001</v>
      </c>
    </row>
    <row r="66" spans="1:5" x14ac:dyDescent="0.2">
      <c r="A66" s="50">
        <v>45872</v>
      </c>
      <c r="B66" t="s">
        <v>14</v>
      </c>
      <c r="C66" s="19">
        <v>2250</v>
      </c>
      <c r="D66" s="19">
        <f>Table1[[#This Row],[Amount]]-INDEX(Table2[], MATCH(Table1[[#This Row],[Account]],Table2[Account],0), 2) + INDEX(Table2[], MATCH(Table1[[#This Row],[Account]],Table2[Account],0), 3)</f>
        <v>868</v>
      </c>
      <c r="E66" s="100">
        <f>Table1[[#This Row],[P/L]]/INDEX(Table2[], MATCH(Table1[[#This Row],[Account]], Table2[Account],0),2)</f>
        <v>0.21565217391304348</v>
      </c>
    </row>
    <row r="67" spans="1:5" x14ac:dyDescent="0.2">
      <c r="A67" s="50">
        <v>45872</v>
      </c>
      <c r="B67" t="s">
        <v>87</v>
      </c>
      <c r="C67" s="19">
        <v>983</v>
      </c>
      <c r="D67" s="19" t="e">
        <f>Table1[[#This Row],[Amount]]-INDEX(Table2[], MATCH(Table1[[#This Row],[Account]],Table2[Account],0), 2) + INDEX(Table2[], MATCH(Table1[[#This Row],[Account]],Table2[Account],0), 3)</f>
        <v>#N/A</v>
      </c>
      <c r="E67" s="100" t="e">
        <f>Table1[[#This Row],[P/L]]/INDEX(Table2[], MATCH(Table1[[#This Row],[Account]], Table2[Account],0),2)</f>
        <v>#N/A</v>
      </c>
    </row>
    <row r="68" spans="1:5" x14ac:dyDescent="0.2">
      <c r="A68" s="50">
        <v>45872</v>
      </c>
      <c r="B68" t="s">
        <v>86</v>
      </c>
      <c r="C68" s="19">
        <v>50</v>
      </c>
      <c r="D68" s="19" t="e">
        <f>Table1[[#This Row],[Amount]]-INDEX(Table2[], MATCH(Table1[[#This Row],[Account]],Table2[Account],0), 2) + INDEX(Table2[], MATCH(Table1[[#This Row],[Account]],Table2[Account],0), 3)</f>
        <v>#N/A</v>
      </c>
      <c r="E68" s="100" t="e">
        <f>Table1[[#This Row],[P/L]]/INDEX(Table2[], MATCH(Table1[[#This Row],[Account]], Table2[Account],0),2)</f>
        <v>#N/A</v>
      </c>
    </row>
    <row r="69" spans="1:5" x14ac:dyDescent="0.2">
      <c r="A69" s="50">
        <v>45872</v>
      </c>
      <c r="B69" t="s">
        <v>15</v>
      </c>
      <c r="C69" s="19">
        <v>0</v>
      </c>
      <c r="D69" s="19" t="e">
        <f>Table1[[#This Row],[Amount]]-INDEX(Table2[], MATCH(Table1[[#This Row],[Account]],Table2[Account],0), 2) + INDEX(Table2[], MATCH(Table1[[#This Row],[Account]],Table2[Account],0), 3)</f>
        <v>#N/A</v>
      </c>
      <c r="E69" s="100" t="e">
        <f>Table1[[#This Row],[P/L]]/INDEX(Table2[], MATCH(Table1[[#This Row],[Account]], Table2[Account],0),2)</f>
        <v>#N/A</v>
      </c>
    </row>
    <row r="70" spans="1:5" x14ac:dyDescent="0.2">
      <c r="A70" s="50">
        <v>45872</v>
      </c>
      <c r="B70" t="s">
        <v>88</v>
      </c>
      <c r="C70" s="19">
        <v>2798</v>
      </c>
      <c r="D70" s="19">
        <f>Table1[[#This Row],[Amount]]-INDEX(Table2[], MATCH(Table1[[#This Row],[Account]],Table2[Account],0), 2) + INDEX(Table2[], MATCH(Table1[[#This Row],[Account]],Table2[Account],0), 3)</f>
        <v>2798</v>
      </c>
      <c r="E70" s="100" t="e">
        <f>Table1[[#This Row],[P/L]]/INDEX(Table2[], MATCH(Table1[[#This Row],[Account]], Table2[Account],0),2)</f>
        <v>#DIV/0!</v>
      </c>
    </row>
    <row r="71" spans="1:5" x14ac:dyDescent="0.2">
      <c r="A71" s="50">
        <v>45839</v>
      </c>
      <c r="B71" t="s">
        <v>132</v>
      </c>
      <c r="C71" s="19">
        <v>15301</v>
      </c>
      <c r="D71" s="19">
        <f>Table1[[#This Row],[Amount]]-INDEX(Table2[], MATCH(Table1[[#This Row],[Account]],Table2[Account],0), 2) + INDEX(Table2[], MATCH(Table1[[#This Row],[Account]],Table2[Account],0), 3)</f>
        <v>3301</v>
      </c>
      <c r="E71" s="100">
        <f>Table1[[#This Row],[P/L]]/INDEX(Table2[], MATCH(Table1[[#This Row],[Account]], Table2[Account],0),2)</f>
        <v>0.27508333333333335</v>
      </c>
    </row>
    <row r="72" spans="1:5" x14ac:dyDescent="0.2">
      <c r="A72" s="50">
        <v>45839</v>
      </c>
      <c r="B72" t="s">
        <v>142</v>
      </c>
      <c r="C72" s="19">
        <v>4370</v>
      </c>
      <c r="D72" s="19">
        <f>Table1[[#This Row],[Amount]]-INDEX(Table2[], MATCH(Table1[[#This Row],[Account]],Table2[Account],0), 2) + INDEX(Table2[], MATCH(Table1[[#This Row],[Account]],Table2[Account],0), 3)</f>
        <v>370</v>
      </c>
      <c r="E72" s="100">
        <f>Table1[[#This Row],[P/L]]/INDEX(Table2[], MATCH(Table1[[#This Row],[Account]], Table2[Account],0),2)</f>
        <v>9.2499999999999999E-2</v>
      </c>
    </row>
    <row r="73" spans="1:5" x14ac:dyDescent="0.2">
      <c r="A73" s="50">
        <v>45839</v>
      </c>
      <c r="B73" t="s">
        <v>14</v>
      </c>
      <c r="C73" s="19">
        <v>1890</v>
      </c>
      <c r="D73" s="19">
        <f>Table1[[#This Row],[Amount]]-INDEX(Table2[], MATCH(Table1[[#This Row],[Account]],Table2[Account],0), 2) + INDEX(Table2[], MATCH(Table1[[#This Row],[Account]],Table2[Account],0), 3)</f>
        <v>508</v>
      </c>
      <c r="E73" s="100">
        <f>Table1[[#This Row],[P/L]]/INDEX(Table2[], MATCH(Table1[[#This Row],[Account]], Table2[Account],0),2)</f>
        <v>0.12621118012422361</v>
      </c>
    </row>
    <row r="74" spans="1:5" x14ac:dyDescent="0.2">
      <c r="A74" s="50">
        <v>45839</v>
      </c>
      <c r="B74" t="s">
        <v>87</v>
      </c>
      <c r="C74" s="19">
        <v>1193</v>
      </c>
      <c r="D74" s="19" t="e">
        <f>Table1[[#This Row],[Amount]]-INDEX(Table2[], MATCH(Table1[[#This Row],[Account]],Table2[Account],0), 2) + INDEX(Table2[], MATCH(Table1[[#This Row],[Account]],Table2[Account],0), 3)</f>
        <v>#N/A</v>
      </c>
      <c r="E74" s="100" t="e">
        <f>Table1[[#This Row],[P/L]]/INDEX(Table2[], MATCH(Table1[[#This Row],[Account]], Table2[Account],0),2)</f>
        <v>#N/A</v>
      </c>
    </row>
    <row r="75" spans="1:5" x14ac:dyDescent="0.2">
      <c r="A75" s="50">
        <v>45839</v>
      </c>
      <c r="B75" t="s">
        <v>86</v>
      </c>
      <c r="C75" s="19">
        <v>50</v>
      </c>
      <c r="D75" s="19" t="e">
        <f>Table1[[#This Row],[Amount]]-INDEX(Table2[], MATCH(Table1[[#This Row],[Account]],Table2[Account],0), 2) + INDEX(Table2[], MATCH(Table1[[#This Row],[Account]],Table2[Account],0), 3)</f>
        <v>#N/A</v>
      </c>
      <c r="E75" s="100" t="e">
        <f>Table1[[#This Row],[P/L]]/INDEX(Table2[], MATCH(Table1[[#This Row],[Account]], Table2[Account],0),2)</f>
        <v>#N/A</v>
      </c>
    </row>
    <row r="76" spans="1:5" x14ac:dyDescent="0.2">
      <c r="A76" s="50">
        <v>45839</v>
      </c>
      <c r="B76" t="s">
        <v>15</v>
      </c>
      <c r="C76" s="19">
        <v>339</v>
      </c>
      <c r="D76" s="19" t="e">
        <f>Table1[[#This Row],[Amount]]-INDEX(Table2[], MATCH(Table1[[#This Row],[Account]],Table2[Account],0), 2) + INDEX(Table2[], MATCH(Table1[[#This Row],[Account]],Table2[Account],0), 3)</f>
        <v>#N/A</v>
      </c>
      <c r="E76" s="100" t="e">
        <f>Table1[[#This Row],[P/L]]/INDEX(Table2[], MATCH(Table1[[#This Row],[Account]], Table2[Account],0),2)</f>
        <v>#N/A</v>
      </c>
    </row>
    <row r="77" spans="1:5" x14ac:dyDescent="0.2">
      <c r="A77" s="50">
        <v>45839</v>
      </c>
      <c r="B77" t="s">
        <v>88</v>
      </c>
      <c r="C77" s="19">
        <v>1742</v>
      </c>
      <c r="D77" s="19">
        <f>Table1[[#This Row],[Amount]]-INDEX(Table2[], MATCH(Table1[[#This Row],[Account]],Table2[Account],0), 2) + INDEX(Table2[], MATCH(Table1[[#This Row],[Account]],Table2[Account],0), 3)</f>
        <v>1742</v>
      </c>
      <c r="E77" s="100" t="e">
        <f>Table1[[#This Row],[P/L]]/INDEX(Table2[], MATCH(Table1[[#This Row],[Account]], Table2[Account],0),2)</f>
        <v>#DIV/0!</v>
      </c>
    </row>
    <row r="78" spans="1:5" x14ac:dyDescent="0.2">
      <c r="A78" s="50">
        <v>45808</v>
      </c>
      <c r="B78" t="s">
        <v>132</v>
      </c>
      <c r="C78" s="19">
        <v>15259</v>
      </c>
      <c r="D78" s="19">
        <f>Table1[[#This Row],[Amount]]-INDEX(Table2[], MATCH(Table1[[#This Row],[Account]],Table2[Account],0), 2) + INDEX(Table2[], MATCH(Table1[[#This Row],[Account]],Table2[Account],0), 3)</f>
        <v>3259</v>
      </c>
      <c r="E78" s="100">
        <f>Table1[[#This Row],[P/L]]/INDEX(Table2[], MATCH(Table1[[#This Row],[Account]], Table2[Account],0),2)</f>
        <v>0.27158333333333334</v>
      </c>
    </row>
    <row r="79" spans="1:5" x14ac:dyDescent="0.2">
      <c r="A79" s="50">
        <v>45808</v>
      </c>
      <c r="B79" t="s">
        <v>142</v>
      </c>
      <c r="C79" s="19">
        <v>4254</v>
      </c>
      <c r="D79" s="19">
        <f>Table1[[#This Row],[Amount]]-INDEX(Table2[], MATCH(Table1[[#This Row],[Account]],Table2[Account],0), 2) + INDEX(Table2[], MATCH(Table1[[#This Row],[Account]],Table2[Account],0), 3)</f>
        <v>254</v>
      </c>
      <c r="E79" s="100">
        <f>Table1[[#This Row],[P/L]]/INDEX(Table2[], MATCH(Table1[[#This Row],[Account]], Table2[Account],0),2)</f>
        <v>6.3500000000000001E-2</v>
      </c>
    </row>
    <row r="80" spans="1:5" x14ac:dyDescent="0.2">
      <c r="A80" s="50">
        <v>45808</v>
      </c>
      <c r="B80" t="s">
        <v>14</v>
      </c>
      <c r="C80" s="19">
        <v>2000</v>
      </c>
      <c r="D80" s="19">
        <f>Table1[[#This Row],[Amount]]-INDEX(Table2[], MATCH(Table1[[#This Row],[Account]],Table2[Account],0), 2) + INDEX(Table2[], MATCH(Table1[[#This Row],[Account]],Table2[Account],0), 3)</f>
        <v>618</v>
      </c>
      <c r="E80" s="100">
        <f>Table1[[#This Row],[P/L]]/INDEX(Table2[], MATCH(Table1[[#This Row],[Account]], Table2[Account],0),2)</f>
        <v>0.15354037267080745</v>
      </c>
    </row>
    <row r="81" spans="1:5" x14ac:dyDescent="0.2">
      <c r="A81" s="50">
        <v>45808</v>
      </c>
      <c r="B81" t="s">
        <v>87</v>
      </c>
      <c r="C81" s="19">
        <v>1500</v>
      </c>
      <c r="D81" s="19" t="e">
        <f>Table1[[#This Row],[Amount]]-INDEX(Table2[], MATCH(Table1[[#This Row],[Account]],Table2[Account],0), 2) + INDEX(Table2[], MATCH(Table1[[#This Row],[Account]],Table2[Account],0), 3)</f>
        <v>#N/A</v>
      </c>
      <c r="E81" s="100" t="e">
        <f>Table1[[#This Row],[P/L]]/INDEX(Table2[], MATCH(Table1[[#This Row],[Account]], Table2[Account],0),2)</f>
        <v>#N/A</v>
      </c>
    </row>
    <row r="82" spans="1:5" x14ac:dyDescent="0.2">
      <c r="A82" s="50">
        <v>45808</v>
      </c>
      <c r="B82" t="s">
        <v>86</v>
      </c>
      <c r="C82" s="19">
        <v>45</v>
      </c>
      <c r="D82" s="19" t="e">
        <f>Table1[[#This Row],[Amount]]-INDEX(Table2[], MATCH(Table1[[#This Row],[Account]],Table2[Account],0), 2) + INDEX(Table2[], MATCH(Table1[[#This Row],[Account]],Table2[Account],0), 3)</f>
        <v>#N/A</v>
      </c>
      <c r="E82" s="100" t="e">
        <f>Table1[[#This Row],[P/L]]/INDEX(Table2[], MATCH(Table1[[#This Row],[Account]], Table2[Account],0),2)</f>
        <v>#N/A</v>
      </c>
    </row>
    <row r="83" spans="1:5" x14ac:dyDescent="0.2">
      <c r="A83" s="50">
        <v>45808</v>
      </c>
      <c r="B83" t="s">
        <v>15</v>
      </c>
      <c r="C83" s="19">
        <v>0</v>
      </c>
      <c r="D83" s="19" t="e">
        <f>Table1[[#This Row],[Amount]]-INDEX(Table2[], MATCH(Table1[[#This Row],[Account]],Table2[Account],0), 2) + INDEX(Table2[], MATCH(Table1[[#This Row],[Account]],Table2[Account],0), 3)</f>
        <v>#N/A</v>
      </c>
      <c r="E83" s="100" t="e">
        <f>Table1[[#This Row],[P/L]]/INDEX(Table2[], MATCH(Table1[[#This Row],[Account]], Table2[Account],0),2)</f>
        <v>#N/A</v>
      </c>
    </row>
    <row r="84" spans="1:5" x14ac:dyDescent="0.2">
      <c r="A84" s="50">
        <v>45808</v>
      </c>
      <c r="B84" t="s">
        <v>88</v>
      </c>
      <c r="C84" s="19">
        <v>1135</v>
      </c>
      <c r="D84" s="19">
        <f>Table1[[#This Row],[Amount]]-INDEX(Table2[], MATCH(Table1[[#This Row],[Account]],Table2[Account],0), 2) + INDEX(Table2[], MATCH(Table1[[#This Row],[Account]],Table2[Account],0), 3)</f>
        <v>1135</v>
      </c>
      <c r="E84" s="100" t="e">
        <f>Table1[[#This Row],[P/L]]/INDEX(Table2[], MATCH(Table1[[#This Row],[Account]], Table2[Account],0),2)</f>
        <v>#DIV/0!</v>
      </c>
    </row>
    <row r="85" spans="1:5" x14ac:dyDescent="0.2">
      <c r="A85" s="50">
        <v>45791</v>
      </c>
      <c r="B85" t="s">
        <v>132</v>
      </c>
      <c r="C85" s="19">
        <v>15234</v>
      </c>
      <c r="D85" s="19">
        <f>Table1[[#This Row],[Amount]]-INDEX(Table2[], MATCH(Table1[[#This Row],[Account]],Table2[Account],0), 2) + INDEX(Table2[], MATCH(Table1[[#This Row],[Account]],Table2[Account],0), 3)</f>
        <v>3234</v>
      </c>
      <c r="E85" s="100">
        <f>Table1[[#This Row],[P/L]]/INDEX(Table2[], MATCH(Table1[[#This Row],[Account]], Table2[Account],0),2)</f>
        <v>0.26950000000000002</v>
      </c>
    </row>
    <row r="86" spans="1:5" x14ac:dyDescent="0.2">
      <c r="A86" s="50">
        <v>45791</v>
      </c>
      <c r="B86" t="s">
        <v>142</v>
      </c>
      <c r="C86" s="19">
        <v>4274.6000000000004</v>
      </c>
      <c r="D86" s="19">
        <f>Table1[[#This Row],[Amount]]-INDEX(Table2[], MATCH(Table1[[#This Row],[Account]],Table2[Account],0), 2) + INDEX(Table2[], MATCH(Table1[[#This Row],[Account]],Table2[Account],0), 3)</f>
        <v>274.60000000000036</v>
      </c>
      <c r="E86" s="100">
        <f>Table1[[#This Row],[P/L]]/INDEX(Table2[], MATCH(Table1[[#This Row],[Account]], Table2[Account],0),2)</f>
        <v>6.8650000000000086E-2</v>
      </c>
    </row>
    <row r="87" spans="1:5" x14ac:dyDescent="0.2">
      <c r="A87" s="50">
        <v>45791</v>
      </c>
      <c r="B87" t="s">
        <v>14</v>
      </c>
      <c r="C87" s="19">
        <v>2152</v>
      </c>
      <c r="D87" s="19">
        <f>Table1[[#This Row],[Amount]]-INDEX(Table2[], MATCH(Table1[[#This Row],[Account]],Table2[Account],0), 2) + INDEX(Table2[], MATCH(Table1[[#This Row],[Account]],Table2[Account],0), 3)</f>
        <v>770</v>
      </c>
      <c r="E87" s="100">
        <f>Table1[[#This Row],[P/L]]/INDEX(Table2[], MATCH(Table1[[#This Row],[Account]], Table2[Account],0),2)</f>
        <v>0.19130434782608696</v>
      </c>
    </row>
    <row r="88" spans="1:5" x14ac:dyDescent="0.2">
      <c r="A88" s="50">
        <v>45791</v>
      </c>
      <c r="B88" t="s">
        <v>87</v>
      </c>
      <c r="C88" s="19">
        <f>739.11+408.77</f>
        <v>1147.8800000000001</v>
      </c>
      <c r="D88" s="19" t="e">
        <f>Table1[[#This Row],[Amount]]-INDEX(Table2[], MATCH(Table1[[#This Row],[Account]],Table2[Account],0), 2) + INDEX(Table2[], MATCH(Table1[[#This Row],[Account]],Table2[Account],0), 3)</f>
        <v>#N/A</v>
      </c>
      <c r="E88" s="100" t="e">
        <f>Table1[[#This Row],[P/L]]/INDEX(Table2[], MATCH(Table1[[#This Row],[Account]], Table2[Account],0),2)</f>
        <v>#N/A</v>
      </c>
    </row>
    <row r="89" spans="1:5" x14ac:dyDescent="0.2">
      <c r="A89" s="50">
        <v>45791</v>
      </c>
      <c r="B89" t="s">
        <v>86</v>
      </c>
      <c r="C89" s="19">
        <v>1.92</v>
      </c>
      <c r="D89" s="19" t="e">
        <f>Table1[[#This Row],[Amount]]-INDEX(Table2[], MATCH(Table1[[#This Row],[Account]],Table2[Account],0), 2) + INDEX(Table2[], MATCH(Table1[[#This Row],[Account]],Table2[Account],0), 3)</f>
        <v>#N/A</v>
      </c>
      <c r="E89" s="100" t="e">
        <f>Table1[[#This Row],[P/L]]/INDEX(Table2[], MATCH(Table1[[#This Row],[Account]], Table2[Account],0),2)</f>
        <v>#N/A</v>
      </c>
    </row>
    <row r="90" spans="1:5" x14ac:dyDescent="0.2">
      <c r="A90" s="50">
        <v>45791</v>
      </c>
      <c r="B90" t="s">
        <v>15</v>
      </c>
      <c r="C90" s="19">
        <v>-408.77</v>
      </c>
      <c r="D90" s="19" t="e">
        <f>Table1[[#This Row],[Amount]]-INDEX(Table2[], MATCH(Table1[[#This Row],[Account]],Table2[Account],0), 2) + INDEX(Table2[], MATCH(Table1[[#This Row],[Account]],Table2[Account],0), 3)</f>
        <v>#N/A</v>
      </c>
      <c r="E90" s="100" t="e">
        <f>Table1[[#This Row],[P/L]]/INDEX(Table2[], MATCH(Table1[[#This Row],[Account]], Table2[Account],0),2)</f>
        <v>#N/A</v>
      </c>
    </row>
    <row r="91" spans="1:5" x14ac:dyDescent="0.2">
      <c r="A91" s="50">
        <v>45791</v>
      </c>
      <c r="B91" t="s">
        <v>88</v>
      </c>
      <c r="C91" s="19">
        <v>635</v>
      </c>
      <c r="D91" s="19">
        <f>Table1[[#This Row],[Amount]]-INDEX(Table2[], MATCH(Table1[[#This Row],[Account]],Table2[Account],0), 2) + INDEX(Table2[], MATCH(Table1[[#This Row],[Account]],Table2[Account],0), 3)</f>
        <v>635</v>
      </c>
      <c r="E91" s="100" t="e">
        <f>Table1[[#This Row],[P/L]]/INDEX(Table2[], MATCH(Table1[[#This Row],[Account]], Table2[Account],0),2)</f>
        <v>#DIV/0!</v>
      </c>
    </row>
    <row r="92" spans="1:5" x14ac:dyDescent="0.2">
      <c r="A92" s="50">
        <v>45749</v>
      </c>
      <c r="B92" t="s">
        <v>132</v>
      </c>
      <c r="C92" s="19">
        <v>14924.24</v>
      </c>
      <c r="D92" s="19">
        <f>Table1[[#This Row],[Amount]]-INDEX(Table2[], MATCH(Table1[[#This Row],[Account]],Table2[Account],0), 2) + INDEX(Table2[], MATCH(Table1[[#This Row],[Account]],Table2[Account],0), 3)</f>
        <v>2924.24</v>
      </c>
      <c r="E92" s="100">
        <f>Table1[[#This Row],[P/L]]/INDEX(Table2[], MATCH(Table1[[#This Row],[Account]], Table2[Account],0),2)</f>
        <v>0.24368666666666663</v>
      </c>
    </row>
    <row r="93" spans="1:5" x14ac:dyDescent="0.2">
      <c r="A93" s="50">
        <v>45749</v>
      </c>
      <c r="B93" t="s">
        <v>142</v>
      </c>
      <c r="C93" s="19">
        <v>0</v>
      </c>
      <c r="D93" s="19">
        <f>Table1[[#This Row],[Amount]]-INDEX(Table2[], MATCH(Table1[[#This Row],[Account]],Table2[Account],0), 2) + INDEX(Table2[], MATCH(Table1[[#This Row],[Account]],Table2[Account],0), 3)</f>
        <v>-4000</v>
      </c>
      <c r="E93" s="100">
        <f>Table1[[#This Row],[P/L]]/INDEX(Table2[], MATCH(Table1[[#This Row],[Account]], Table2[Account],0),2)</f>
        <v>-1</v>
      </c>
    </row>
    <row r="94" spans="1:5" x14ac:dyDescent="0.2">
      <c r="A94" s="50">
        <v>45749</v>
      </c>
      <c r="B94" t="s">
        <v>14</v>
      </c>
      <c r="C94" s="19">
        <v>2271.64</v>
      </c>
      <c r="D94" s="19">
        <f>Table1[[#This Row],[Amount]]-INDEX(Table2[], MATCH(Table1[[#This Row],[Account]],Table2[Account],0), 2) + INDEX(Table2[], MATCH(Table1[[#This Row],[Account]],Table2[Account],0), 3)</f>
        <v>889.63999999999987</v>
      </c>
      <c r="E94" s="100">
        <f>Table1[[#This Row],[P/L]]/INDEX(Table2[], MATCH(Table1[[#This Row],[Account]], Table2[Account],0),2)</f>
        <v>0.22102857142857141</v>
      </c>
    </row>
    <row r="95" spans="1:5" x14ac:dyDescent="0.2">
      <c r="A95" s="50">
        <v>45749</v>
      </c>
      <c r="B95" t="s">
        <v>87</v>
      </c>
      <c r="C95" s="19">
        <v>1897.69</v>
      </c>
      <c r="D95" s="19" t="e">
        <f>Table1[[#This Row],[Amount]]-INDEX(Table2[], MATCH(Table1[[#This Row],[Account]],Table2[Account],0), 2) + INDEX(Table2[], MATCH(Table1[[#This Row],[Account]],Table2[Account],0), 3)</f>
        <v>#N/A</v>
      </c>
      <c r="E95" s="100" t="e">
        <f>Table1[[#This Row],[P/L]]/INDEX(Table2[], MATCH(Table1[[#This Row],[Account]], Table2[Account],0),2)</f>
        <v>#N/A</v>
      </c>
    </row>
    <row r="96" spans="1:5" x14ac:dyDescent="0.2">
      <c r="A96" s="50">
        <v>45749</v>
      </c>
      <c r="B96" t="s">
        <v>86</v>
      </c>
      <c r="C96" s="19">
        <v>7</v>
      </c>
      <c r="D96" s="19" t="e">
        <f>Table1[[#This Row],[Amount]]-INDEX(Table2[], MATCH(Table1[[#This Row],[Account]],Table2[Account],0), 2) + INDEX(Table2[], MATCH(Table1[[#This Row],[Account]],Table2[Account],0), 3)</f>
        <v>#N/A</v>
      </c>
      <c r="E96" s="100" t="e">
        <f>Table1[[#This Row],[P/L]]/INDEX(Table2[], MATCH(Table1[[#This Row],[Account]], Table2[Account],0),2)</f>
        <v>#N/A</v>
      </c>
    </row>
    <row r="97" spans="1:6" x14ac:dyDescent="0.2">
      <c r="A97" s="50">
        <v>45749</v>
      </c>
      <c r="B97" t="s">
        <v>15</v>
      </c>
      <c r="C97" s="19">
        <v>0</v>
      </c>
      <c r="D97" s="19" t="e">
        <f>Table1[[#This Row],[Amount]]-INDEX(Table2[], MATCH(Table1[[#This Row],[Account]],Table2[Account],0), 2) + INDEX(Table2[], MATCH(Table1[[#This Row],[Account]],Table2[Account],0), 3)</f>
        <v>#N/A</v>
      </c>
      <c r="E97" s="100" t="e">
        <f>Table1[[#This Row],[P/L]]/INDEX(Table2[], MATCH(Table1[[#This Row],[Account]], Table2[Account],0),2)</f>
        <v>#N/A</v>
      </c>
    </row>
    <row r="98" spans="1:6" x14ac:dyDescent="0.2">
      <c r="A98" s="50">
        <v>45749</v>
      </c>
      <c r="B98" t="s">
        <v>88</v>
      </c>
      <c r="C98" s="19">
        <v>4832.2299999999996</v>
      </c>
      <c r="D98" s="19">
        <f>Table1[[#This Row],[Amount]]-INDEX(Table2[], MATCH(Table1[[#This Row],[Account]],Table2[Account],0), 2) + INDEX(Table2[], MATCH(Table1[[#This Row],[Account]],Table2[Account],0), 3)</f>
        <v>4832.2299999999996</v>
      </c>
      <c r="E98" s="100" t="e">
        <f>Table1[[#This Row],[P/L]]/INDEX(Table2[], MATCH(Table1[[#This Row],[Account]], Table2[Account],0),2)</f>
        <v>#DIV/0!</v>
      </c>
    </row>
    <row r="99" spans="1:6" x14ac:dyDescent="0.2">
      <c r="A99" s="50">
        <v>45718</v>
      </c>
      <c r="B99" t="s">
        <v>132</v>
      </c>
      <c r="C99" s="19">
        <f>13133+750</f>
        <v>13883</v>
      </c>
      <c r="D99" s="19">
        <f>Table1[[#This Row],[Amount]]-INDEX(Table2[], MATCH(Table1[[#This Row],[Account]],Table2[Account],0), 2) + INDEX(Table2[], MATCH(Table1[[#This Row],[Account]],Table2[Account],0), 3)</f>
        <v>1883</v>
      </c>
      <c r="E99" s="100">
        <f>Table1[[#This Row],[P/L]]/INDEX(Table2[], MATCH(Table1[[#This Row],[Account]], Table2[Account],0),2)</f>
        <v>0.15691666666666668</v>
      </c>
      <c r="F99" t="s">
        <v>133</v>
      </c>
    </row>
    <row r="100" spans="1:6" x14ac:dyDescent="0.2">
      <c r="A100" s="50">
        <v>45718</v>
      </c>
      <c r="B100" t="s">
        <v>142</v>
      </c>
      <c r="C100" s="19">
        <v>5331.77</v>
      </c>
      <c r="D100" s="19">
        <f>Table1[[#This Row],[Amount]]-INDEX(Table2[], MATCH(Table1[[#This Row],[Account]],Table2[Account],0), 2) + INDEX(Table2[], MATCH(Table1[[#This Row],[Account]],Table2[Account],0), 3)</f>
        <v>1331.7700000000004</v>
      </c>
      <c r="E100" s="100">
        <f>Table1[[#This Row],[P/L]]/INDEX(Table2[], MATCH(Table1[[#This Row],[Account]], Table2[Account],0),2)</f>
        <v>0.33294250000000009</v>
      </c>
      <c r="F100" t="s">
        <v>143</v>
      </c>
    </row>
    <row r="101" spans="1:6" x14ac:dyDescent="0.2">
      <c r="A101" s="50">
        <v>45718</v>
      </c>
      <c r="B101" t="s">
        <v>14</v>
      </c>
      <c r="C101" s="19">
        <v>2105</v>
      </c>
      <c r="D101" s="19">
        <f>Table1[[#This Row],[Amount]]-INDEX(Table2[], MATCH(Table1[[#This Row],[Account]],Table2[Account],0), 2) + INDEX(Table2[], MATCH(Table1[[#This Row],[Account]],Table2[Account],0), 3)</f>
        <v>723</v>
      </c>
      <c r="E101" s="100">
        <f>Table1[[#This Row],[P/L]]/INDEX(Table2[], MATCH(Table1[[#This Row],[Account]], Table2[Account],0),2)</f>
        <v>0.17962732919254659</v>
      </c>
    </row>
    <row r="102" spans="1:6" x14ac:dyDescent="0.2">
      <c r="A102" s="50">
        <v>45718</v>
      </c>
      <c r="B102" t="s">
        <v>87</v>
      </c>
      <c r="C102" s="19">
        <v>1472</v>
      </c>
      <c r="D102" s="19" t="e">
        <f>Table1[[#This Row],[Amount]]-INDEX(Table2[], MATCH(Table1[[#This Row],[Account]],Table2[Account],0), 2) + INDEX(Table2[], MATCH(Table1[[#This Row],[Account]],Table2[Account],0), 3)</f>
        <v>#N/A</v>
      </c>
      <c r="E102" s="100" t="e">
        <f>Table1[[#This Row],[P/L]]/INDEX(Table2[], MATCH(Table1[[#This Row],[Account]], Table2[Account],0),2)</f>
        <v>#N/A</v>
      </c>
    </row>
    <row r="103" spans="1:6" x14ac:dyDescent="0.2">
      <c r="A103" s="50">
        <v>45718</v>
      </c>
      <c r="B103" t="s">
        <v>86</v>
      </c>
      <c r="C103" s="19">
        <v>20</v>
      </c>
      <c r="D103" s="19" t="e">
        <f>Table1[[#This Row],[Amount]]-INDEX(Table2[], MATCH(Table1[[#This Row],[Account]],Table2[Account],0), 2) + INDEX(Table2[], MATCH(Table1[[#This Row],[Account]],Table2[Account],0), 3)</f>
        <v>#N/A</v>
      </c>
      <c r="E103" s="100" t="e">
        <f>Table1[[#This Row],[P/L]]/INDEX(Table2[], MATCH(Table1[[#This Row],[Account]], Table2[Account],0),2)</f>
        <v>#N/A</v>
      </c>
    </row>
    <row r="104" spans="1:6" x14ac:dyDescent="0.2">
      <c r="A104" s="50">
        <v>45718</v>
      </c>
      <c r="B104" t="s">
        <v>15</v>
      </c>
      <c r="C104" s="19">
        <v>0</v>
      </c>
      <c r="D104" s="19" t="e">
        <f>Table1[[#This Row],[Amount]]-INDEX(Table2[], MATCH(Table1[[#This Row],[Account]],Table2[Account],0), 2) + INDEX(Table2[], MATCH(Table1[[#This Row],[Account]],Table2[Account],0), 3)</f>
        <v>#N/A</v>
      </c>
      <c r="E104" s="100" t="e">
        <f>Table1[[#This Row],[P/L]]/INDEX(Table2[], MATCH(Table1[[#This Row],[Account]], Table2[Account],0),2)</f>
        <v>#N/A</v>
      </c>
    </row>
    <row r="105" spans="1:6" x14ac:dyDescent="0.2">
      <c r="A105" s="50">
        <v>45718</v>
      </c>
      <c r="B105" t="s">
        <v>88</v>
      </c>
      <c r="C105" s="19">
        <v>426</v>
      </c>
      <c r="D105" s="19">
        <f>Table1[[#This Row],[Amount]]-INDEX(Table2[], MATCH(Table1[[#This Row],[Account]],Table2[Account],0), 2) + INDEX(Table2[], MATCH(Table1[[#This Row],[Account]],Table2[Account],0), 3)</f>
        <v>426</v>
      </c>
      <c r="E105" s="100" t="e">
        <f>Table1[[#This Row],[P/L]]/INDEX(Table2[], MATCH(Table1[[#This Row],[Account]], Table2[Account],0),2)</f>
        <v>#DIV/0!</v>
      </c>
    </row>
    <row r="106" spans="1:6" x14ac:dyDescent="0.2">
      <c r="A106" s="50">
        <v>45656</v>
      </c>
      <c r="B106" t="s">
        <v>132</v>
      </c>
      <c r="C106" s="19">
        <f>C113+100</f>
        <v>10043</v>
      </c>
      <c r="D106" s="19">
        <f>Table1[[#This Row],[Amount]]-INDEX(Table2[], MATCH(Table1[[#This Row],[Account]],Table2[Account],0), 2) + INDEX(Table2[], MATCH(Table1[[#This Row],[Account]],Table2[Account],0), 3)</f>
        <v>-1957</v>
      </c>
      <c r="E106" s="100">
        <f>Table1[[#This Row],[P/L]]/INDEX(Table2[], MATCH(Table1[[#This Row],[Account]], Table2[Account],0),2)</f>
        <v>-0.16308333333333333</v>
      </c>
    </row>
    <row r="107" spans="1:6" x14ac:dyDescent="0.2">
      <c r="A107" s="50">
        <v>45656</v>
      </c>
      <c r="B107" t="s">
        <v>142</v>
      </c>
      <c r="C107" s="19">
        <f t="shared" ref="C107:C112" si="0">C114+100</f>
        <v>5329</v>
      </c>
      <c r="D107" s="19">
        <f>Table1[[#This Row],[Amount]]-INDEX(Table2[], MATCH(Table1[[#This Row],[Account]],Table2[Account],0), 2) + INDEX(Table2[], MATCH(Table1[[#This Row],[Account]],Table2[Account],0), 3)</f>
        <v>1329</v>
      </c>
      <c r="E107" s="100">
        <f>Table1[[#This Row],[P/L]]/INDEX(Table2[], MATCH(Table1[[#This Row],[Account]], Table2[Account],0),2)</f>
        <v>0.33224999999999999</v>
      </c>
    </row>
    <row r="108" spans="1:6" x14ac:dyDescent="0.2">
      <c r="A108" s="50">
        <v>45656</v>
      </c>
      <c r="B108" t="s">
        <v>14</v>
      </c>
      <c r="C108" s="19">
        <f t="shared" si="0"/>
        <v>2668</v>
      </c>
      <c r="D108" s="19">
        <f>Table1[[#This Row],[Amount]]-INDEX(Table2[], MATCH(Table1[[#This Row],[Account]],Table2[Account],0), 2) + INDEX(Table2[], MATCH(Table1[[#This Row],[Account]],Table2[Account],0), 3)</f>
        <v>1286</v>
      </c>
      <c r="E108" s="100">
        <f>Table1[[#This Row],[P/L]]/INDEX(Table2[], MATCH(Table1[[#This Row],[Account]], Table2[Account],0),2)</f>
        <v>0.31950310559006212</v>
      </c>
    </row>
    <row r="109" spans="1:6" x14ac:dyDescent="0.2">
      <c r="A109" s="50">
        <v>45656</v>
      </c>
      <c r="B109" t="s">
        <v>87</v>
      </c>
      <c r="C109" s="19">
        <f t="shared" si="0"/>
        <v>3176</v>
      </c>
      <c r="D109" s="19" t="e">
        <f>Table1[[#This Row],[Amount]]-INDEX(Table2[], MATCH(Table1[[#This Row],[Account]],Table2[Account],0), 2) + INDEX(Table2[], MATCH(Table1[[#This Row],[Account]],Table2[Account],0), 3)</f>
        <v>#N/A</v>
      </c>
      <c r="E109" s="100" t="e">
        <f>Table1[[#This Row],[P/L]]/INDEX(Table2[], MATCH(Table1[[#This Row],[Account]], Table2[Account],0),2)</f>
        <v>#N/A</v>
      </c>
    </row>
    <row r="110" spans="1:6" x14ac:dyDescent="0.2">
      <c r="A110" s="50">
        <v>45656</v>
      </c>
      <c r="B110" t="s">
        <v>86</v>
      </c>
      <c r="C110" s="19">
        <f t="shared" si="0"/>
        <v>267</v>
      </c>
      <c r="D110" s="19" t="e">
        <f>Table1[[#This Row],[Amount]]-INDEX(Table2[], MATCH(Table1[[#This Row],[Account]],Table2[Account],0), 2) + INDEX(Table2[], MATCH(Table1[[#This Row],[Account]],Table2[Account],0), 3)</f>
        <v>#N/A</v>
      </c>
      <c r="E110" s="100" t="e">
        <f>Table1[[#This Row],[P/L]]/INDEX(Table2[], MATCH(Table1[[#This Row],[Account]], Table2[Account],0),2)</f>
        <v>#N/A</v>
      </c>
    </row>
    <row r="111" spans="1:6" x14ac:dyDescent="0.2">
      <c r="A111" s="50">
        <v>45656</v>
      </c>
      <c r="B111" t="s">
        <v>15</v>
      </c>
      <c r="C111" s="19">
        <f t="shared" si="0"/>
        <v>-575</v>
      </c>
      <c r="D111" s="19" t="e">
        <f>Table1[[#This Row],[Amount]]-INDEX(Table2[], MATCH(Table1[[#This Row],[Account]],Table2[Account],0), 2) + INDEX(Table2[], MATCH(Table1[[#This Row],[Account]],Table2[Account],0), 3)</f>
        <v>#N/A</v>
      </c>
      <c r="E111" s="100" t="e">
        <f>Table1[[#This Row],[P/L]]/INDEX(Table2[], MATCH(Table1[[#This Row],[Account]], Table2[Account],0),2)</f>
        <v>#N/A</v>
      </c>
    </row>
    <row r="112" spans="1:6" x14ac:dyDescent="0.2">
      <c r="A112" s="50">
        <v>45656</v>
      </c>
      <c r="B112" t="s">
        <v>88</v>
      </c>
      <c r="C112" s="19">
        <f t="shared" si="0"/>
        <v>2304</v>
      </c>
      <c r="D112" s="19">
        <f>Table1[[#This Row],[Amount]]-INDEX(Table2[], MATCH(Table1[[#This Row],[Account]],Table2[Account],0), 2) + INDEX(Table2[], MATCH(Table1[[#This Row],[Account]],Table2[Account],0), 3)</f>
        <v>2304</v>
      </c>
      <c r="E112" s="100" t="e">
        <f>Table1[[#This Row],[P/L]]/INDEX(Table2[], MATCH(Table1[[#This Row],[Account]], Table2[Account],0),2)</f>
        <v>#DIV/0!</v>
      </c>
    </row>
    <row r="113" spans="1:5" x14ac:dyDescent="0.2">
      <c r="A113" s="50">
        <v>45654</v>
      </c>
      <c r="B113" t="s">
        <v>132</v>
      </c>
      <c r="C113" s="19">
        <v>9943</v>
      </c>
      <c r="D113" s="19">
        <f>Table1[[#This Row],[Amount]]-INDEX(Table2[], MATCH(Table1[[#This Row],[Account]],Table2[Account],0), 2) + INDEX(Table2[], MATCH(Table1[[#This Row],[Account]],Table2[Account],0), 3)</f>
        <v>-2057</v>
      </c>
      <c r="E113" s="100">
        <f>Table1[[#This Row],[P/L]]/INDEX(Table2[], MATCH(Table1[[#This Row],[Account]], Table2[Account],0),2)</f>
        <v>-0.17141666666666666</v>
      </c>
    </row>
    <row r="114" spans="1:5" x14ac:dyDescent="0.2">
      <c r="A114" s="50">
        <v>45654</v>
      </c>
      <c r="B114" t="s">
        <v>142</v>
      </c>
      <c r="C114" s="19">
        <v>5229</v>
      </c>
      <c r="D114" s="19">
        <f>Table1[[#This Row],[Amount]]-INDEX(Table2[], MATCH(Table1[[#This Row],[Account]],Table2[Account],0), 2) + INDEX(Table2[], MATCH(Table1[[#This Row],[Account]],Table2[Account],0), 3)</f>
        <v>1229</v>
      </c>
      <c r="E114" s="100">
        <f>Table1[[#This Row],[P/L]]/INDEX(Table2[], MATCH(Table1[[#This Row],[Account]], Table2[Account],0),2)</f>
        <v>0.30725000000000002</v>
      </c>
    </row>
    <row r="115" spans="1:5" x14ac:dyDescent="0.2">
      <c r="A115" s="50">
        <v>45654</v>
      </c>
      <c r="B115" t="s">
        <v>14</v>
      </c>
      <c r="C115" s="19">
        <v>2568</v>
      </c>
      <c r="D115" s="19">
        <f>Table1[[#This Row],[Amount]]-INDEX(Table2[], MATCH(Table1[[#This Row],[Account]],Table2[Account],0), 2) + INDEX(Table2[], MATCH(Table1[[#This Row],[Account]],Table2[Account],0), 3)</f>
        <v>1186</v>
      </c>
      <c r="E115" s="100">
        <f>Table1[[#This Row],[P/L]]/INDEX(Table2[], MATCH(Table1[[#This Row],[Account]], Table2[Account],0),2)</f>
        <v>0.29465838509316772</v>
      </c>
    </row>
    <row r="116" spans="1:5" x14ac:dyDescent="0.2">
      <c r="A116" s="50">
        <v>45654</v>
      </c>
      <c r="B116" t="s">
        <v>87</v>
      </c>
      <c r="C116" s="19">
        <v>3076</v>
      </c>
      <c r="D116" s="19" t="e">
        <f>Table1[[#This Row],[Amount]]-INDEX(Table2[], MATCH(Table1[[#This Row],[Account]],Table2[Account],0), 2) + INDEX(Table2[], MATCH(Table1[[#This Row],[Account]],Table2[Account],0), 3)</f>
        <v>#N/A</v>
      </c>
      <c r="E116" s="100" t="e">
        <f>Table1[[#This Row],[P/L]]/INDEX(Table2[], MATCH(Table1[[#This Row],[Account]], Table2[Account],0),2)</f>
        <v>#N/A</v>
      </c>
    </row>
    <row r="117" spans="1:5" x14ac:dyDescent="0.2">
      <c r="A117" s="50">
        <v>45654</v>
      </c>
      <c r="B117" t="s">
        <v>86</v>
      </c>
      <c r="C117" s="19">
        <v>167</v>
      </c>
      <c r="D117" s="19" t="e">
        <f>Table1[[#This Row],[Amount]]-INDEX(Table2[], MATCH(Table1[[#This Row],[Account]],Table2[Account],0), 2) + INDEX(Table2[], MATCH(Table1[[#This Row],[Account]],Table2[Account],0), 3)</f>
        <v>#N/A</v>
      </c>
      <c r="E117" s="100" t="e">
        <f>Table1[[#This Row],[P/L]]/INDEX(Table2[], MATCH(Table1[[#This Row],[Account]], Table2[Account],0),2)</f>
        <v>#N/A</v>
      </c>
    </row>
    <row r="118" spans="1:5" x14ac:dyDescent="0.2">
      <c r="A118" s="50">
        <v>45654</v>
      </c>
      <c r="B118" t="s">
        <v>15</v>
      </c>
      <c r="C118" s="19">
        <v>-675</v>
      </c>
      <c r="D118" s="19" t="e">
        <f>Table1[[#This Row],[Amount]]-INDEX(Table2[], MATCH(Table1[[#This Row],[Account]],Table2[Account],0), 2) + INDEX(Table2[], MATCH(Table1[[#This Row],[Account]],Table2[Account],0), 3)</f>
        <v>#N/A</v>
      </c>
      <c r="E118" s="100" t="e">
        <f>Table1[[#This Row],[P/L]]/INDEX(Table2[], MATCH(Table1[[#This Row],[Account]], Table2[Account],0),2)</f>
        <v>#N/A</v>
      </c>
    </row>
    <row r="119" spans="1:5" x14ac:dyDescent="0.2">
      <c r="A119" s="50">
        <v>45654</v>
      </c>
      <c r="B119" t="s">
        <v>88</v>
      </c>
      <c r="C119" s="19">
        <v>2204</v>
      </c>
      <c r="D119" s="19">
        <f>Table1[[#This Row],[Amount]]-INDEX(Table2[], MATCH(Table1[[#This Row],[Account]],Table2[Account],0), 2) + INDEX(Table2[], MATCH(Table1[[#This Row],[Account]],Table2[Account],0), 3)</f>
        <v>2204</v>
      </c>
      <c r="E119" s="100" t="e">
        <f>Table1[[#This Row],[P/L]]/INDEX(Table2[], MATCH(Table1[[#This Row],[Account]], Table2[Account],0),2)</f>
        <v>#DIV/0!</v>
      </c>
    </row>
    <row r="120" spans="1:5" x14ac:dyDescent="0.2">
      <c r="A120" s="50"/>
    </row>
    <row r="121" spans="1:5" x14ac:dyDescent="0.2">
      <c r="A121" s="50"/>
    </row>
    <row r="122" spans="1:5" x14ac:dyDescent="0.2">
      <c r="A122" s="101" t="s">
        <v>125</v>
      </c>
    </row>
    <row r="123" spans="1:5" x14ac:dyDescent="0.2">
      <c r="A123" s="76" t="s">
        <v>90</v>
      </c>
      <c r="B123" t="s">
        <v>92</v>
      </c>
    </row>
    <row r="124" spans="1:5" x14ac:dyDescent="0.2">
      <c r="A124" s="77">
        <v>45654</v>
      </c>
      <c r="B124" s="19">
        <v>22512</v>
      </c>
    </row>
    <row r="125" spans="1:5" x14ac:dyDescent="0.2">
      <c r="A125" s="77">
        <v>45656</v>
      </c>
      <c r="B125" s="19">
        <v>23212</v>
      </c>
    </row>
    <row r="126" spans="1:5" x14ac:dyDescent="0.2">
      <c r="A126" s="77">
        <v>45718</v>
      </c>
      <c r="B126" s="19">
        <v>23237.77</v>
      </c>
    </row>
    <row r="127" spans="1:5" x14ac:dyDescent="0.2">
      <c r="A127" s="77">
        <v>45749</v>
      </c>
      <c r="B127" s="19">
        <v>23932.799999999999</v>
      </c>
    </row>
    <row r="128" spans="1:5" x14ac:dyDescent="0.2">
      <c r="A128" s="77">
        <v>45791</v>
      </c>
      <c r="B128" s="19">
        <v>23036.629999999997</v>
      </c>
    </row>
    <row r="129" spans="1:2" x14ac:dyDescent="0.2">
      <c r="A129" s="77">
        <v>45808</v>
      </c>
      <c r="B129" s="19">
        <v>24193</v>
      </c>
    </row>
    <row r="130" spans="1:2" x14ac:dyDescent="0.2">
      <c r="A130" s="77">
        <v>45839</v>
      </c>
      <c r="B130" s="19">
        <v>24885</v>
      </c>
    </row>
    <row r="131" spans="1:2" x14ac:dyDescent="0.2">
      <c r="A131" s="77">
        <v>45872</v>
      </c>
      <c r="B131" s="19">
        <v>25952</v>
      </c>
    </row>
    <row r="132" spans="1:2" x14ac:dyDescent="0.2">
      <c r="A132" s="77">
        <v>45962</v>
      </c>
      <c r="B132" s="19">
        <v>28003.010000000002</v>
      </c>
    </row>
    <row r="133" spans="1:2" x14ac:dyDescent="0.2">
      <c r="A133" s="77">
        <v>46000</v>
      </c>
      <c r="B133" s="19">
        <v>27601.05</v>
      </c>
    </row>
    <row r="134" spans="1:2" x14ac:dyDescent="0.2">
      <c r="A134" s="77">
        <v>46021</v>
      </c>
      <c r="B134" s="19">
        <v>28948</v>
      </c>
    </row>
    <row r="135" spans="1:2" x14ac:dyDescent="0.2">
      <c r="A135" s="77">
        <v>46063</v>
      </c>
      <c r="B135" s="19">
        <v>26608</v>
      </c>
    </row>
    <row r="136" spans="1:2" x14ac:dyDescent="0.2">
      <c r="A136" s="77">
        <v>46118</v>
      </c>
      <c r="B136" s="19">
        <v>25888.23</v>
      </c>
    </row>
    <row r="137" spans="1:2" x14ac:dyDescent="0.2">
      <c r="A137" s="77">
        <v>46157</v>
      </c>
      <c r="B137" s="19">
        <v>26766</v>
      </c>
    </row>
    <row r="138" spans="1:2" x14ac:dyDescent="0.2">
      <c r="A138" s="77">
        <v>46177</v>
      </c>
      <c r="B138" s="19">
        <v>42093</v>
      </c>
    </row>
    <row r="139" spans="1:2" x14ac:dyDescent="0.2">
      <c r="B139"/>
    </row>
    <row r="140" spans="1:2" x14ac:dyDescent="0.2">
      <c r="B140"/>
    </row>
  </sheetData>
  <dataValidations count="1">
    <dataValidation type="list" allowBlank="1" showInputMessage="1" showErrorMessage="1" sqref="A3:A8 B99 B106 B113 B92 B85 B78 B71 B64 B57 B50 B43 B36 B29 B21 B13" xr:uid="{8EF08DC0-928C-F441-AADF-76E98CAA1537}">
      <formula1>Accounts</formula1>
    </dataValidation>
  </dataValidations>
  <pageMargins left="0.7" right="0.7" top="0.75" bottom="0.75" header="0.3" footer="0.3"/>
  <tableParts count="2">
    <tablePart r:id="rId2"/>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BA6DBA9E-5527-C342-949F-BB8AB10BD1DB}">
          <x14:formula1>
            <xm:f>Lists!$B$3:$B$13</xm:f>
          </x14:formula1>
          <xm:sqref>C120:C122 D120:E1048576 B100:B105 B107:B112 B114:B119 C141:C1048576 B93:B98 B86:B91 B79:B84 B72:B77 B65:B70 B58:B63 B51:B56 B44:B49 B37:B42 B30:B35 B22:B27 B14:B19</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693B9-0664-2B44-AC8D-811C13FE47A7}">
  <sheetPr>
    <tabColor theme="8"/>
  </sheetPr>
  <dimension ref="A1:G34"/>
  <sheetViews>
    <sheetView topLeftCell="A6" zoomScale="139" workbookViewId="0">
      <selection activeCell="F38" sqref="F38"/>
    </sheetView>
  </sheetViews>
  <sheetFormatPr baseColWidth="10" defaultRowHeight="15" x14ac:dyDescent="0.2"/>
  <cols>
    <col min="1" max="1" width="3" customWidth="1"/>
    <col min="2" max="2" width="18.33203125" bestFit="1" customWidth="1"/>
    <col min="3" max="3" width="13.33203125" customWidth="1"/>
    <col min="4" max="4" width="13.83203125" customWidth="1"/>
    <col min="5" max="5" width="12.1640625" customWidth="1"/>
    <col min="6" max="6" width="30.1640625" bestFit="1" customWidth="1"/>
  </cols>
  <sheetData>
    <row r="1" spans="1:6" ht="19" x14ac:dyDescent="0.25">
      <c r="A1" s="49"/>
    </row>
    <row r="2" spans="1:6" ht="20" thickBot="1" x14ac:dyDescent="0.3">
      <c r="A2" s="49"/>
      <c r="B2" s="75" t="s">
        <v>101</v>
      </c>
    </row>
    <row r="3" spans="1:6" x14ac:dyDescent="0.2">
      <c r="B3" s="78" t="s">
        <v>102</v>
      </c>
      <c r="C3" s="79" t="s">
        <v>60</v>
      </c>
      <c r="D3" s="79" t="s">
        <v>61</v>
      </c>
      <c r="E3" s="80" t="s">
        <v>62</v>
      </c>
      <c r="F3" s="81" t="s">
        <v>63</v>
      </c>
    </row>
    <row r="4" spans="1:6" x14ac:dyDescent="0.2">
      <c r="B4" s="58" t="s">
        <v>16</v>
      </c>
      <c r="C4" s="2"/>
      <c r="D4" s="2">
        <v>1976</v>
      </c>
      <c r="E4" s="59"/>
      <c r="F4" s="60">
        <v>1976</v>
      </c>
    </row>
    <row r="5" spans="1:6" ht="16" thickBot="1" x14ac:dyDescent="0.25">
      <c r="B5" s="63" t="s">
        <v>4</v>
      </c>
      <c r="C5" s="64"/>
      <c r="D5" s="64"/>
      <c r="E5" s="65"/>
      <c r="F5" s="66">
        <f>C5*4+D5+E5/12</f>
        <v>0</v>
      </c>
    </row>
    <row r="6" spans="1:6" ht="16" thickBot="1" x14ac:dyDescent="0.25">
      <c r="B6" s="67"/>
      <c r="C6" s="68"/>
      <c r="D6" s="68"/>
      <c r="E6" s="69" t="s">
        <v>7</v>
      </c>
      <c r="F6" s="70">
        <f>SUM(F4:F5)</f>
        <v>1976</v>
      </c>
    </row>
    <row r="8" spans="1:6" x14ac:dyDescent="0.2">
      <c r="B8" s="1" t="s">
        <v>98</v>
      </c>
    </row>
    <row r="9" spans="1:6" x14ac:dyDescent="0.2">
      <c r="B9" s="91" t="s">
        <v>105</v>
      </c>
      <c r="C9" s="92" t="s">
        <v>110</v>
      </c>
      <c r="D9" s="92" t="s">
        <v>111</v>
      </c>
      <c r="E9" s="93" t="s">
        <v>112</v>
      </c>
      <c r="F9" s="94" t="s">
        <v>63</v>
      </c>
    </row>
    <row r="10" spans="1:6" x14ac:dyDescent="0.2">
      <c r="B10" s="88" t="s">
        <v>49</v>
      </c>
      <c r="C10" s="3"/>
      <c r="D10" s="3">
        <v>400</v>
      </c>
      <c r="E10" s="61"/>
      <c r="F10" s="89">
        <f t="shared" ref="F10:F18" si="0">C10*4+D10+E10/12</f>
        <v>400</v>
      </c>
    </row>
    <row r="11" spans="1:6" x14ac:dyDescent="0.2">
      <c r="B11" s="88" t="s">
        <v>94</v>
      </c>
      <c r="C11" s="57">
        <v>40</v>
      </c>
      <c r="D11" s="57"/>
      <c r="E11" s="62"/>
      <c r="F11" s="89">
        <f t="shared" si="0"/>
        <v>160</v>
      </c>
    </row>
    <row r="12" spans="1:6" x14ac:dyDescent="0.2">
      <c r="B12" s="88" t="s">
        <v>64</v>
      </c>
      <c r="C12" s="57"/>
      <c r="D12" s="57">
        <v>35</v>
      </c>
      <c r="E12" s="62"/>
      <c r="F12" s="89">
        <f t="shared" si="0"/>
        <v>35</v>
      </c>
    </row>
    <row r="13" spans="1:6" x14ac:dyDescent="0.2">
      <c r="B13" s="88" t="s">
        <v>65</v>
      </c>
      <c r="C13" s="57"/>
      <c r="D13" s="57">
        <v>33</v>
      </c>
      <c r="E13" s="62"/>
      <c r="F13" s="89">
        <f t="shared" si="0"/>
        <v>33</v>
      </c>
    </row>
    <row r="14" spans="1:6" x14ac:dyDescent="0.2">
      <c r="B14" s="88" t="s">
        <v>96</v>
      </c>
      <c r="C14" s="57"/>
      <c r="D14" s="57">
        <f>90-D13-D12</f>
        <v>22</v>
      </c>
      <c r="E14" s="62"/>
      <c r="F14" s="89">
        <f t="shared" si="0"/>
        <v>22</v>
      </c>
    </row>
    <row r="15" spans="1:6" x14ac:dyDescent="0.2">
      <c r="B15" s="88" t="s">
        <v>95</v>
      </c>
      <c r="C15" s="57"/>
      <c r="D15" s="57">
        <v>150</v>
      </c>
      <c r="E15" s="62"/>
      <c r="F15" s="89">
        <f t="shared" si="0"/>
        <v>150</v>
      </c>
    </row>
    <row r="16" spans="1:6" x14ac:dyDescent="0.2">
      <c r="B16" s="88" t="s">
        <v>97</v>
      </c>
      <c r="C16" s="57"/>
      <c r="D16" s="57">
        <v>150</v>
      </c>
      <c r="E16" s="62"/>
      <c r="F16" s="89">
        <f t="shared" si="0"/>
        <v>150</v>
      </c>
    </row>
    <row r="17" spans="2:7" x14ac:dyDescent="0.2">
      <c r="B17" s="88" t="s">
        <v>59</v>
      </c>
      <c r="C17" s="57"/>
      <c r="D17" s="57">
        <v>20</v>
      </c>
      <c r="E17" s="62"/>
      <c r="F17" s="89">
        <f t="shared" si="0"/>
        <v>20</v>
      </c>
    </row>
    <row r="18" spans="2:7" ht="16" thickBot="1" x14ac:dyDescent="0.25">
      <c r="B18" s="88" t="s">
        <v>79</v>
      </c>
      <c r="C18" s="57"/>
      <c r="D18" s="57">
        <v>90</v>
      </c>
      <c r="E18" s="62"/>
      <c r="F18" s="90">
        <f t="shared" si="0"/>
        <v>90</v>
      </c>
    </row>
    <row r="19" spans="2:7" x14ac:dyDescent="0.2">
      <c r="B19" s="95"/>
      <c r="C19" s="96"/>
      <c r="D19" s="96"/>
      <c r="E19" s="97" t="s">
        <v>7</v>
      </c>
      <c r="F19" s="98">
        <f>SUM(F10:F18)</f>
        <v>1060</v>
      </c>
    </row>
    <row r="21" spans="2:7" x14ac:dyDescent="0.2">
      <c r="D21" s="53">
        <f>D24+D25</f>
        <v>642</v>
      </c>
    </row>
    <row r="22" spans="2:7" x14ac:dyDescent="0.2">
      <c r="B22" s="1" t="s">
        <v>159</v>
      </c>
    </row>
    <row r="23" spans="2:7" x14ac:dyDescent="0.2">
      <c r="B23" s="91" t="s">
        <v>105</v>
      </c>
      <c r="C23" s="92" t="s">
        <v>110</v>
      </c>
      <c r="D23" s="92" t="s">
        <v>111</v>
      </c>
      <c r="E23" s="93" t="s">
        <v>112</v>
      </c>
      <c r="F23" s="94" t="s">
        <v>63</v>
      </c>
      <c r="G23" s="93" t="s">
        <v>172</v>
      </c>
    </row>
    <row r="24" spans="2:7" x14ac:dyDescent="0.2">
      <c r="B24" s="88" t="s">
        <v>49</v>
      </c>
      <c r="C24" s="3"/>
      <c r="D24" s="3">
        <f>950/2</f>
        <v>475</v>
      </c>
      <c r="E24" s="61"/>
      <c r="F24" s="89">
        <f t="shared" ref="F24:F33" si="1">C24*4+D24+E24/12</f>
        <v>475</v>
      </c>
      <c r="G24" s="61">
        <f>Spend_New[[#This Row],[As Monthly]]*12</f>
        <v>5700</v>
      </c>
    </row>
    <row r="25" spans="2:7" x14ac:dyDescent="0.2">
      <c r="B25" s="88" t="s">
        <v>160</v>
      </c>
      <c r="C25" s="57"/>
      <c r="D25" s="57">
        <f>(15+50+80+189)/2</f>
        <v>167</v>
      </c>
      <c r="E25" s="62"/>
      <c r="F25" s="89">
        <f t="shared" si="1"/>
        <v>167</v>
      </c>
      <c r="G25" s="62">
        <f>Spend_New[[#This Row],[As Monthly]]*12</f>
        <v>2004</v>
      </c>
    </row>
    <row r="26" spans="2:7" x14ac:dyDescent="0.2">
      <c r="B26" s="88" t="s">
        <v>94</v>
      </c>
      <c r="C26" s="57">
        <v>50</v>
      </c>
      <c r="D26" s="57"/>
      <c r="E26" s="62"/>
      <c r="F26" s="89">
        <f t="shared" si="1"/>
        <v>200</v>
      </c>
      <c r="G26" s="62">
        <f>Spend_New[[#This Row],[As Monthly]]*12</f>
        <v>2400</v>
      </c>
    </row>
    <row r="27" spans="2:7" x14ac:dyDescent="0.2">
      <c r="B27" s="88" t="s">
        <v>64</v>
      </c>
      <c r="C27" s="57"/>
      <c r="D27" s="57">
        <v>30</v>
      </c>
      <c r="E27" s="62"/>
      <c r="F27" s="89">
        <f t="shared" si="1"/>
        <v>30</v>
      </c>
      <c r="G27" s="62">
        <f>Spend_New[[#This Row],[As Monthly]]*12</f>
        <v>360</v>
      </c>
    </row>
    <row r="28" spans="2:7" x14ac:dyDescent="0.2">
      <c r="B28" s="88" t="s">
        <v>65</v>
      </c>
      <c r="C28" s="57"/>
      <c r="D28" s="57">
        <v>35</v>
      </c>
      <c r="E28" s="62"/>
      <c r="F28" s="89">
        <f t="shared" si="1"/>
        <v>35</v>
      </c>
      <c r="G28" s="62">
        <f>Spend_New[[#This Row],[As Monthly]]*12</f>
        <v>420</v>
      </c>
    </row>
    <row r="29" spans="2:7" x14ac:dyDescent="0.2">
      <c r="B29" s="88" t="s">
        <v>96</v>
      </c>
      <c r="C29" s="57"/>
      <c r="D29" s="57">
        <v>30</v>
      </c>
      <c r="E29" s="62"/>
      <c r="F29" s="89">
        <f t="shared" si="1"/>
        <v>30</v>
      </c>
      <c r="G29" s="62">
        <f>Spend_New[[#This Row],[As Monthly]]*12</f>
        <v>360</v>
      </c>
    </row>
    <row r="30" spans="2:7" x14ac:dyDescent="0.2">
      <c r="B30" s="88" t="s">
        <v>95</v>
      </c>
      <c r="C30" s="57"/>
      <c r="D30" s="57">
        <v>100</v>
      </c>
      <c r="E30" s="62"/>
      <c r="F30" s="89">
        <f t="shared" si="1"/>
        <v>100</v>
      </c>
      <c r="G30" s="62">
        <f>Spend_New[[#This Row],[As Monthly]]*12</f>
        <v>1200</v>
      </c>
    </row>
    <row r="31" spans="2:7" x14ac:dyDescent="0.2">
      <c r="B31" s="88" t="s">
        <v>97</v>
      </c>
      <c r="C31" s="57"/>
      <c r="D31" s="57">
        <v>100</v>
      </c>
      <c r="E31" s="62"/>
      <c r="F31" s="89">
        <f t="shared" si="1"/>
        <v>100</v>
      </c>
      <c r="G31" s="62">
        <f>Spend_New[[#This Row],[As Monthly]]*12</f>
        <v>1200</v>
      </c>
    </row>
    <row r="32" spans="2:7" x14ac:dyDescent="0.2">
      <c r="B32" s="88" t="s">
        <v>59</v>
      </c>
      <c r="C32" s="57"/>
      <c r="D32" s="57">
        <v>22</v>
      </c>
      <c r="E32" s="62"/>
      <c r="F32" s="89">
        <f t="shared" si="1"/>
        <v>22</v>
      </c>
      <c r="G32" s="62">
        <f>Spend_New[[#This Row],[As Monthly]]*12</f>
        <v>264</v>
      </c>
    </row>
    <row r="33" spans="2:7" ht="16" thickBot="1" x14ac:dyDescent="0.25">
      <c r="B33" s="88" t="s">
        <v>79</v>
      </c>
      <c r="C33" s="57"/>
      <c r="D33" s="57">
        <v>90</v>
      </c>
      <c r="E33" s="62"/>
      <c r="F33" s="90">
        <f t="shared" si="1"/>
        <v>90</v>
      </c>
      <c r="G33" s="62">
        <f>Spend_New[[#This Row],[As Monthly]]*12</f>
        <v>1080</v>
      </c>
    </row>
    <row r="34" spans="2:7" x14ac:dyDescent="0.2">
      <c r="B34" s="95"/>
      <c r="C34" s="96"/>
      <c r="D34" s="96"/>
      <c r="E34" s="97" t="s">
        <v>7</v>
      </c>
      <c r="F34" s="98">
        <f>SUM(F24:F33)</f>
        <v>1249</v>
      </c>
      <c r="G34" s="97">
        <f>Spend_New[[#This Row],[As Monthly]]*12</f>
        <v>14988</v>
      </c>
    </row>
  </sheetData>
  <sortState xmlns:xlrd2="http://schemas.microsoft.com/office/spreadsheetml/2017/richdata2" ref="B23:F34">
    <sortCondition ref="D23:D34"/>
  </sortState>
  <dataValidations count="1">
    <dataValidation type="list" allowBlank="1" showInputMessage="1" showErrorMessage="1" sqref="B10:B18 B24:B33" xr:uid="{B645C33E-FA30-3A41-B2F2-435B70F22B93}">
      <formula1>Expenditure</formula1>
    </dataValidation>
  </dataValidations>
  <pageMargins left="0.7" right="0.7" top="0.75" bottom="0.75" header="0.3" footer="0.3"/>
  <legacy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FC082-27FF-A84D-9DBF-652BD4CB93EB}">
  <sheetPr>
    <tabColor theme="8"/>
  </sheetPr>
  <dimension ref="A1:F47"/>
  <sheetViews>
    <sheetView zoomScale="110" zoomScaleNormal="110" workbookViewId="0">
      <selection activeCell="B44" sqref="B44"/>
    </sheetView>
  </sheetViews>
  <sheetFormatPr baseColWidth="10" defaultRowHeight="15" x14ac:dyDescent="0.2"/>
  <cols>
    <col min="1" max="1" width="5" customWidth="1"/>
    <col min="2" max="2" width="34" style="112" bestFit="1" customWidth="1"/>
    <col min="3" max="3" width="10.5" bestFit="1" customWidth="1"/>
    <col min="4" max="4" width="6.83203125" customWidth="1"/>
    <col min="5" max="5" width="9.1640625" customWidth="1"/>
    <col min="6" max="6" width="38.5" bestFit="1" customWidth="1"/>
  </cols>
  <sheetData>
    <row r="1" spans="1:6" ht="21" thickBot="1" x14ac:dyDescent="0.3">
      <c r="A1" s="112"/>
      <c r="B1" s="120" t="s">
        <v>103</v>
      </c>
    </row>
    <row r="2" spans="1:6" ht="16" thickTop="1" x14ac:dyDescent="0.2"/>
    <row r="3" spans="1:6" ht="16" thickBot="1" x14ac:dyDescent="0.25">
      <c r="B3" s="109" t="s">
        <v>104</v>
      </c>
      <c r="C3" s="82" t="s">
        <v>105</v>
      </c>
      <c r="D3" s="82" t="s">
        <v>40</v>
      </c>
      <c r="E3" s="83" t="s">
        <v>10</v>
      </c>
      <c r="F3" s="84" t="s">
        <v>108</v>
      </c>
    </row>
    <row r="4" spans="1:6" hidden="1" x14ac:dyDescent="0.2">
      <c r="B4" s="110" t="s">
        <v>113</v>
      </c>
      <c r="C4" s="74" t="s">
        <v>107</v>
      </c>
      <c r="D4" s="85">
        <v>45627</v>
      </c>
      <c r="E4" s="103">
        <v>150</v>
      </c>
      <c r="F4" s="1"/>
    </row>
    <row r="5" spans="1:6" hidden="1" x14ac:dyDescent="0.2">
      <c r="B5" s="111" t="s">
        <v>131</v>
      </c>
      <c r="C5" s="87" t="s">
        <v>69</v>
      </c>
      <c r="D5" s="122">
        <v>45658</v>
      </c>
      <c r="E5" s="87">
        <v>385</v>
      </c>
      <c r="F5" s="86"/>
    </row>
    <row r="6" spans="1:6" hidden="1" x14ac:dyDescent="0.2">
      <c r="B6" s="111" t="s">
        <v>109</v>
      </c>
      <c r="C6" s="71" t="s">
        <v>99</v>
      </c>
      <c r="D6" s="122">
        <v>45689</v>
      </c>
      <c r="E6" s="71">
        <v>15</v>
      </c>
      <c r="F6" s="86"/>
    </row>
    <row r="7" spans="1:6" hidden="1" x14ac:dyDescent="0.2">
      <c r="B7" s="111" t="s">
        <v>114</v>
      </c>
      <c r="C7" s="87" t="s">
        <v>107</v>
      </c>
      <c r="D7" s="122">
        <v>45689</v>
      </c>
      <c r="E7" s="87">
        <v>200</v>
      </c>
      <c r="F7" s="86"/>
    </row>
    <row r="8" spans="1:6" hidden="1" x14ac:dyDescent="0.2">
      <c r="B8" s="111" t="s">
        <v>115</v>
      </c>
      <c r="C8" s="87" t="s">
        <v>107</v>
      </c>
      <c r="D8" s="122">
        <v>45717</v>
      </c>
      <c r="E8" s="87">
        <v>170</v>
      </c>
      <c r="F8" s="86" t="s">
        <v>135</v>
      </c>
    </row>
    <row r="9" spans="1:6" hidden="1" x14ac:dyDescent="0.2">
      <c r="B9" s="111" t="s">
        <v>129</v>
      </c>
      <c r="C9" s="87" t="s">
        <v>107</v>
      </c>
      <c r="D9" s="122">
        <v>45748</v>
      </c>
      <c r="E9" s="87">
        <v>50</v>
      </c>
      <c r="F9" s="86"/>
    </row>
    <row r="10" spans="1:6" hidden="1" x14ac:dyDescent="0.2">
      <c r="B10" s="111" t="s">
        <v>130</v>
      </c>
      <c r="C10" s="87" t="s">
        <v>107</v>
      </c>
      <c r="D10" s="122">
        <v>45748</v>
      </c>
      <c r="E10" s="87">
        <v>200</v>
      </c>
      <c r="F10" s="86"/>
    </row>
    <row r="11" spans="1:6" hidden="1" x14ac:dyDescent="0.2">
      <c r="B11" s="111" t="s">
        <v>136</v>
      </c>
      <c r="C11" s="87" t="s">
        <v>107</v>
      </c>
      <c r="D11" s="122">
        <v>45748</v>
      </c>
      <c r="E11" s="87">
        <v>200</v>
      </c>
      <c r="F11" s="86"/>
    </row>
    <row r="12" spans="1:6" hidden="1" x14ac:dyDescent="0.2">
      <c r="B12" s="111" t="s">
        <v>137</v>
      </c>
      <c r="C12" s="87" t="s">
        <v>99</v>
      </c>
      <c r="D12" s="122">
        <v>45748</v>
      </c>
      <c r="E12" s="117">
        <v>200</v>
      </c>
      <c r="F12" s="118"/>
    </row>
    <row r="13" spans="1:6" hidden="1" x14ac:dyDescent="0.2">
      <c r="B13" s="111" t="s">
        <v>147</v>
      </c>
      <c r="C13" s="87" t="s">
        <v>99</v>
      </c>
      <c r="D13" s="122">
        <v>45778</v>
      </c>
      <c r="E13" s="87">
        <v>300</v>
      </c>
      <c r="F13" s="86" t="s">
        <v>148</v>
      </c>
    </row>
    <row r="14" spans="1:6" hidden="1" x14ac:dyDescent="0.2">
      <c r="B14" s="111" t="s">
        <v>116</v>
      </c>
      <c r="C14" s="87" t="s">
        <v>107</v>
      </c>
      <c r="D14" s="122">
        <v>45778</v>
      </c>
      <c r="E14" s="87">
        <v>800</v>
      </c>
      <c r="F14" s="86" t="s">
        <v>141</v>
      </c>
    </row>
    <row r="15" spans="1:6" hidden="1" x14ac:dyDescent="0.2">
      <c r="B15" s="114" t="s">
        <v>138</v>
      </c>
      <c r="C15" s="113" t="s">
        <v>107</v>
      </c>
      <c r="D15" s="123">
        <v>45778</v>
      </c>
      <c r="E15" s="115">
        <v>100</v>
      </c>
      <c r="F15" s="116"/>
    </row>
    <row r="16" spans="1:6" hidden="1" x14ac:dyDescent="0.2">
      <c r="B16" s="111" t="s">
        <v>139</v>
      </c>
      <c r="C16" s="87" t="s">
        <v>107</v>
      </c>
      <c r="D16" s="122">
        <v>45809</v>
      </c>
      <c r="E16" s="117">
        <v>150</v>
      </c>
      <c r="F16" s="118"/>
    </row>
    <row r="17" spans="2:6" hidden="1" x14ac:dyDescent="0.2">
      <c r="B17" s="111" t="s">
        <v>140</v>
      </c>
      <c r="C17" s="87" t="s">
        <v>107</v>
      </c>
      <c r="D17" s="122">
        <v>45809</v>
      </c>
      <c r="E17" s="117">
        <v>100</v>
      </c>
      <c r="F17" s="118"/>
    </row>
    <row r="18" spans="2:6" hidden="1" x14ac:dyDescent="0.2">
      <c r="B18" s="111" t="s">
        <v>144</v>
      </c>
      <c r="C18" s="87" t="s">
        <v>107</v>
      </c>
      <c r="D18" s="122">
        <v>45809</v>
      </c>
      <c r="E18" s="87">
        <v>200</v>
      </c>
      <c r="F18" s="86"/>
    </row>
    <row r="19" spans="2:6" hidden="1" x14ac:dyDescent="0.2">
      <c r="B19" s="111" t="s">
        <v>145</v>
      </c>
      <c r="C19" s="87" t="s">
        <v>107</v>
      </c>
      <c r="D19" s="122">
        <v>45809</v>
      </c>
      <c r="E19" s="87">
        <v>200</v>
      </c>
      <c r="F19" s="86"/>
    </row>
    <row r="20" spans="2:6" hidden="1" x14ac:dyDescent="0.2">
      <c r="B20" s="111" t="s">
        <v>154</v>
      </c>
      <c r="C20" s="87" t="s">
        <v>107</v>
      </c>
      <c r="D20" s="122">
        <v>45839</v>
      </c>
      <c r="E20" s="87">
        <v>100</v>
      </c>
      <c r="F20" s="86"/>
    </row>
    <row r="21" spans="2:6" hidden="1" x14ac:dyDescent="0.2">
      <c r="B21" s="111" t="s">
        <v>155</v>
      </c>
      <c r="C21" s="87" t="s">
        <v>107</v>
      </c>
      <c r="D21" s="122">
        <v>45839</v>
      </c>
      <c r="E21" s="87">
        <v>250</v>
      </c>
      <c r="F21" s="86" t="s">
        <v>156</v>
      </c>
    </row>
    <row r="22" spans="2:6" hidden="1" x14ac:dyDescent="0.2">
      <c r="B22" s="111" t="s">
        <v>152</v>
      </c>
      <c r="C22" s="87" t="s">
        <v>107</v>
      </c>
      <c r="D22" s="122">
        <v>45870</v>
      </c>
      <c r="E22" s="87">
        <v>100</v>
      </c>
      <c r="F22" s="86"/>
    </row>
    <row r="23" spans="2:6" hidden="1" x14ac:dyDescent="0.2">
      <c r="B23" s="111" t="s">
        <v>149</v>
      </c>
      <c r="C23" s="87" t="s">
        <v>107</v>
      </c>
      <c r="D23" s="122">
        <v>45931</v>
      </c>
      <c r="E23" s="87">
        <v>500</v>
      </c>
      <c r="F23" s="86"/>
    </row>
    <row r="24" spans="2:6" hidden="1" x14ac:dyDescent="0.2">
      <c r="B24" s="111" t="s">
        <v>146</v>
      </c>
      <c r="C24" s="87" t="s">
        <v>107</v>
      </c>
      <c r="D24" s="122">
        <v>45962</v>
      </c>
      <c r="E24" s="87">
        <v>300</v>
      </c>
      <c r="F24" s="86" t="s">
        <v>153</v>
      </c>
    </row>
    <row r="25" spans="2:6" hidden="1" x14ac:dyDescent="0.2">
      <c r="B25" s="111" t="s">
        <v>157</v>
      </c>
      <c r="C25" s="87" t="s">
        <v>107</v>
      </c>
      <c r="D25" s="122">
        <v>45962</v>
      </c>
      <c r="E25" s="87">
        <v>150</v>
      </c>
      <c r="F25" s="86" t="s">
        <v>158</v>
      </c>
    </row>
    <row r="26" spans="2:6" hidden="1" x14ac:dyDescent="0.2">
      <c r="B26" s="111" t="s">
        <v>173</v>
      </c>
      <c r="C26" s="87" t="s">
        <v>99</v>
      </c>
      <c r="D26" s="122">
        <v>45992</v>
      </c>
      <c r="E26" s="87">
        <v>150</v>
      </c>
      <c r="F26" s="86" t="s">
        <v>174</v>
      </c>
    </row>
    <row r="27" spans="2:6" x14ac:dyDescent="0.2">
      <c r="B27" s="111" t="s">
        <v>131</v>
      </c>
      <c r="C27" s="87" t="s">
        <v>69</v>
      </c>
      <c r="D27" s="122">
        <v>46023</v>
      </c>
      <c r="E27" s="87">
        <v>395</v>
      </c>
      <c r="F27" s="86"/>
    </row>
    <row r="28" spans="2:6" x14ac:dyDescent="0.2">
      <c r="B28" s="111" t="s">
        <v>169</v>
      </c>
      <c r="C28" s="87" t="s">
        <v>107</v>
      </c>
      <c r="D28" s="122">
        <v>46054</v>
      </c>
      <c r="E28" s="87">
        <v>500</v>
      </c>
      <c r="F28" s="86" t="s">
        <v>177</v>
      </c>
    </row>
    <row r="29" spans="2:6" x14ac:dyDescent="0.2">
      <c r="B29" s="111" t="s">
        <v>184</v>
      </c>
      <c r="C29" s="87" t="s">
        <v>163</v>
      </c>
      <c r="D29" s="122">
        <v>46054</v>
      </c>
      <c r="E29" s="87">
        <v>150</v>
      </c>
      <c r="F29" s="86"/>
    </row>
    <row r="30" spans="2:6" x14ac:dyDescent="0.2">
      <c r="B30" s="111" t="s">
        <v>162</v>
      </c>
      <c r="C30" s="87" t="s">
        <v>163</v>
      </c>
      <c r="D30" s="122">
        <v>46082</v>
      </c>
      <c r="E30" s="87">
        <v>100</v>
      </c>
      <c r="F30" s="86" t="s">
        <v>165</v>
      </c>
    </row>
    <row r="31" spans="2:6" x14ac:dyDescent="0.2">
      <c r="B31" s="111" t="s">
        <v>164</v>
      </c>
      <c r="C31" s="87" t="s">
        <v>163</v>
      </c>
      <c r="D31" s="122">
        <v>46082</v>
      </c>
      <c r="E31" s="87">
        <v>300</v>
      </c>
      <c r="F31" s="86" t="s">
        <v>166</v>
      </c>
    </row>
    <row r="32" spans="2:6" x14ac:dyDescent="0.2">
      <c r="B32" s="111" t="s">
        <v>180</v>
      </c>
      <c r="C32" s="87" t="s">
        <v>107</v>
      </c>
      <c r="D32" s="123">
        <v>46082</v>
      </c>
      <c r="E32" s="87">
        <v>1200</v>
      </c>
      <c r="F32" s="86" t="s">
        <v>181</v>
      </c>
    </row>
    <row r="33" spans="2:6" x14ac:dyDescent="0.2">
      <c r="B33" s="111" t="s">
        <v>182</v>
      </c>
      <c r="C33" s="87" t="s">
        <v>163</v>
      </c>
      <c r="D33" s="123">
        <v>46082</v>
      </c>
      <c r="E33" s="87">
        <v>100</v>
      </c>
      <c r="F33" s="86" t="s">
        <v>183</v>
      </c>
    </row>
    <row r="34" spans="2:6" x14ac:dyDescent="0.2">
      <c r="B34" s="111" t="s">
        <v>170</v>
      </c>
      <c r="C34" s="87" t="s">
        <v>99</v>
      </c>
      <c r="D34" s="123">
        <v>46113</v>
      </c>
      <c r="E34" s="87">
        <v>400</v>
      </c>
      <c r="F34" s="86" t="s">
        <v>185</v>
      </c>
    </row>
    <row r="35" spans="2:6" x14ac:dyDescent="0.2">
      <c r="B35" s="111" t="s">
        <v>167</v>
      </c>
      <c r="C35" s="87" t="s">
        <v>163</v>
      </c>
      <c r="D35" s="123">
        <v>46143</v>
      </c>
      <c r="E35" s="87">
        <v>300</v>
      </c>
      <c r="F35" s="86" t="s">
        <v>168</v>
      </c>
    </row>
    <row r="36" spans="2:6" x14ac:dyDescent="0.2">
      <c r="B36" s="111" t="s">
        <v>171</v>
      </c>
      <c r="C36" s="87" t="s">
        <v>163</v>
      </c>
      <c r="D36" s="123">
        <v>46143</v>
      </c>
      <c r="E36" s="87">
        <v>300</v>
      </c>
      <c r="F36" s="86"/>
    </row>
    <row r="37" spans="2:6" x14ac:dyDescent="0.2">
      <c r="B37" s="111" t="s">
        <v>178</v>
      </c>
      <c r="C37" s="87" t="s">
        <v>69</v>
      </c>
      <c r="D37" s="123">
        <v>46143</v>
      </c>
      <c r="E37" s="87">
        <v>300</v>
      </c>
      <c r="F37" s="86" t="s">
        <v>179</v>
      </c>
    </row>
    <row r="38" spans="2:6" x14ac:dyDescent="0.2">
      <c r="B38" s="111" t="s">
        <v>196</v>
      </c>
      <c r="C38" s="87" t="s">
        <v>68</v>
      </c>
      <c r="D38" s="126">
        <v>46143</v>
      </c>
      <c r="E38" s="87">
        <v>300</v>
      </c>
      <c r="F38" s="86"/>
    </row>
    <row r="39" spans="2:6" x14ac:dyDescent="0.2">
      <c r="B39" s="111" t="s">
        <v>191</v>
      </c>
      <c r="C39" s="87" t="s">
        <v>68</v>
      </c>
      <c r="D39" s="126">
        <v>46143</v>
      </c>
      <c r="E39" s="87">
        <v>300</v>
      </c>
      <c r="F39" s="86"/>
    </row>
    <row r="40" spans="2:6" x14ac:dyDescent="0.2">
      <c r="B40" s="111" t="s">
        <v>192</v>
      </c>
      <c r="C40" s="87" t="s">
        <v>68</v>
      </c>
      <c r="D40" s="126">
        <v>46143</v>
      </c>
      <c r="E40" s="87">
        <v>200</v>
      </c>
      <c r="F40" s="86" t="s">
        <v>193</v>
      </c>
    </row>
    <row r="41" spans="2:6" x14ac:dyDescent="0.2">
      <c r="B41" s="111" t="s">
        <v>194</v>
      </c>
      <c r="C41" s="87" t="s">
        <v>68</v>
      </c>
      <c r="D41" s="126">
        <v>46204</v>
      </c>
      <c r="E41" s="87">
        <v>800</v>
      </c>
      <c r="F41" s="86" t="s">
        <v>195</v>
      </c>
    </row>
    <row r="42" spans="2:6" x14ac:dyDescent="0.2">
      <c r="B42" s="111" t="s">
        <v>186</v>
      </c>
      <c r="C42" s="87" t="s">
        <v>107</v>
      </c>
      <c r="D42" s="126">
        <v>46266</v>
      </c>
      <c r="E42" s="87">
        <v>200</v>
      </c>
      <c r="F42" s="86" t="s">
        <v>187</v>
      </c>
    </row>
    <row r="43" spans="2:6" x14ac:dyDescent="0.2">
      <c r="B43" s="111" t="s">
        <v>189</v>
      </c>
      <c r="C43" s="87" t="s">
        <v>163</v>
      </c>
      <c r="D43" s="126">
        <v>46266</v>
      </c>
      <c r="E43" s="87">
        <v>250</v>
      </c>
      <c r="F43" s="86" t="s">
        <v>190</v>
      </c>
    </row>
    <row r="44" spans="2:6" x14ac:dyDescent="0.2">
      <c r="B44" s="111"/>
      <c r="C44" s="87"/>
      <c r="D44" s="126"/>
      <c r="E44" s="87"/>
      <c r="F44" s="86"/>
    </row>
    <row r="45" spans="2:6" x14ac:dyDescent="0.2">
      <c r="B45" s="111"/>
      <c r="C45" s="87"/>
      <c r="D45" s="126"/>
      <c r="E45" s="87"/>
      <c r="F45" s="86"/>
    </row>
    <row r="46" spans="2:6" x14ac:dyDescent="0.2">
      <c r="B46" s="111"/>
      <c r="C46" s="87"/>
      <c r="D46" s="126"/>
      <c r="E46" s="87"/>
      <c r="F46" s="86"/>
    </row>
    <row r="47" spans="2:6" x14ac:dyDescent="0.2">
      <c r="B47" s="114"/>
      <c r="C47" s="87"/>
      <c r="D47" s="123"/>
      <c r="E47" s="113"/>
      <c r="F47" s="124"/>
    </row>
  </sheetData>
  <dataValidations count="1">
    <dataValidation type="list" allowBlank="1" showInputMessage="1" showErrorMessage="1" sqref="C4:C47" xr:uid="{92E918D7-83A8-DB4E-958F-E88575B831FA}">
      <formula1>OtherExpenditureCat</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7638A-C1A7-0B42-A8FA-6E52BF1A7C7B}">
  <sheetPr>
    <tabColor theme="8"/>
  </sheetPr>
  <dimension ref="A1:G32"/>
  <sheetViews>
    <sheetView topLeftCell="A5" zoomScale="133" workbookViewId="0">
      <selection activeCell="H25" sqref="H25"/>
    </sheetView>
  </sheetViews>
  <sheetFormatPr baseColWidth="10" defaultRowHeight="15" x14ac:dyDescent="0.2"/>
  <cols>
    <col min="1" max="1" width="14" bestFit="1" customWidth="1"/>
    <col min="2" max="2" width="17.33203125" bestFit="1" customWidth="1"/>
    <col min="3" max="3" width="15.1640625" bestFit="1" customWidth="1"/>
    <col min="4" max="4" width="14.6640625" bestFit="1" customWidth="1"/>
    <col min="5" max="5" width="14.6640625" customWidth="1"/>
    <col min="6" max="6" width="13.33203125" bestFit="1" customWidth="1"/>
    <col min="7" max="7" width="13.6640625" bestFit="1" customWidth="1"/>
  </cols>
  <sheetData>
    <row r="1" spans="1:7" ht="21" thickBot="1" x14ac:dyDescent="0.3">
      <c r="A1" s="119" t="s">
        <v>100</v>
      </c>
    </row>
    <row r="2" spans="1:7" ht="16" thickTop="1" x14ac:dyDescent="0.2"/>
    <row r="3" spans="1:7" x14ac:dyDescent="0.2">
      <c r="A3" s="1" t="s">
        <v>101</v>
      </c>
    </row>
    <row r="4" spans="1:7" x14ac:dyDescent="0.2">
      <c r="A4" t="s">
        <v>117</v>
      </c>
      <c r="B4">
        <f>'Montly Expenses'!F6</f>
        <v>1976</v>
      </c>
    </row>
    <row r="7" spans="1:7" x14ac:dyDescent="0.2">
      <c r="A7" s="1" t="s">
        <v>118</v>
      </c>
    </row>
    <row r="8" spans="1:7" x14ac:dyDescent="0.2">
      <c r="A8" t="s">
        <v>40</v>
      </c>
      <c r="B8" t="s">
        <v>119</v>
      </c>
      <c r="C8" t="s">
        <v>120</v>
      </c>
      <c r="D8" t="s">
        <v>121</v>
      </c>
      <c r="E8" t="s">
        <v>101</v>
      </c>
      <c r="F8" t="s">
        <v>122</v>
      </c>
      <c r="G8" t="s">
        <v>127</v>
      </c>
    </row>
    <row r="9" spans="1:7" x14ac:dyDescent="0.2">
      <c r="A9" s="121">
        <v>45778</v>
      </c>
      <c r="B9" cm="1">
        <f t="array" ref="B9">INDEX(Spend[], ROWS(Spend[]), COLUMNS(Spend[]))</f>
        <v>1060</v>
      </c>
      <c r="C9" s="102">
        <f>SUMIF(Table3[Date],Calcs!A9,Table3[Amount])</f>
        <v>1200</v>
      </c>
      <c r="D9" s="102">
        <f t="shared" ref="D9:D16" si="0">SUM(B9:C9)</f>
        <v>2260</v>
      </c>
      <c r="E9" s="102">
        <f t="shared" ref="E9:E13" si="1">$B$4</f>
        <v>1976</v>
      </c>
      <c r="F9" s="102">
        <f t="shared" ref="F9:F16" si="2">E9-D9</f>
        <v>-284</v>
      </c>
      <c r="G9" s="102">
        <f>F9</f>
        <v>-284</v>
      </c>
    </row>
    <row r="10" spans="1:7" x14ac:dyDescent="0.2">
      <c r="A10" s="121">
        <v>45809</v>
      </c>
      <c r="B10" cm="1">
        <f t="array" ref="B10">INDEX(Spend[], ROWS(Spend[]), COLUMNS(Spend[]))</f>
        <v>1060</v>
      </c>
      <c r="C10" s="102">
        <f>SUMIF(Table3[Date],Calcs!A10,Table3[Amount])</f>
        <v>650</v>
      </c>
      <c r="D10" s="102">
        <f t="shared" si="0"/>
        <v>1710</v>
      </c>
      <c r="E10" s="102">
        <f t="shared" si="1"/>
        <v>1976</v>
      </c>
      <c r="F10" s="102">
        <f t="shared" si="2"/>
        <v>266</v>
      </c>
      <c r="G10" s="102">
        <f t="shared" ref="G10:G16" si="3">G9+F10</f>
        <v>-18</v>
      </c>
    </row>
    <row r="11" spans="1:7" x14ac:dyDescent="0.2">
      <c r="A11" s="121">
        <v>45839</v>
      </c>
      <c r="B11" cm="1">
        <f t="array" ref="B11">INDEX(Spend[], ROWS(Spend[]), COLUMNS(Spend[]))</f>
        <v>1060</v>
      </c>
      <c r="C11" s="102">
        <f>SUMIF(Table3[Date],Calcs!A11,Table3[Amount])</f>
        <v>350</v>
      </c>
      <c r="D11" s="102">
        <f t="shared" si="0"/>
        <v>1410</v>
      </c>
      <c r="E11" s="102">
        <f t="shared" si="1"/>
        <v>1976</v>
      </c>
      <c r="F11" s="102">
        <f t="shared" si="2"/>
        <v>566</v>
      </c>
      <c r="G11" s="102">
        <f t="shared" si="3"/>
        <v>548</v>
      </c>
    </row>
    <row r="12" spans="1:7" x14ac:dyDescent="0.2">
      <c r="A12" s="121">
        <v>45870</v>
      </c>
      <c r="B12" cm="1">
        <f t="array" ref="B12">INDEX(Spend[], ROWS(Spend[]), COLUMNS(Spend[]))</f>
        <v>1060</v>
      </c>
      <c r="C12" s="102">
        <f>SUMIF(Table3[Date],Calcs!A12,Table3[Amount])</f>
        <v>100</v>
      </c>
      <c r="D12" s="102">
        <f t="shared" si="0"/>
        <v>1160</v>
      </c>
      <c r="E12" s="102">
        <f t="shared" si="1"/>
        <v>1976</v>
      </c>
      <c r="F12" s="102">
        <f t="shared" si="2"/>
        <v>816</v>
      </c>
      <c r="G12" s="102">
        <f t="shared" si="3"/>
        <v>1364</v>
      </c>
    </row>
    <row r="13" spans="1:7" x14ac:dyDescent="0.2">
      <c r="A13" s="121">
        <v>45901</v>
      </c>
      <c r="B13" cm="1">
        <f t="array" ref="B13">INDEX(Spend[], ROWS(Spend[]), COLUMNS(Spend[]))</f>
        <v>1060</v>
      </c>
      <c r="C13" s="102">
        <f>SUMIF(Table3[Date],Calcs!A13,Table3[Amount])</f>
        <v>0</v>
      </c>
      <c r="D13" s="102">
        <f t="shared" si="0"/>
        <v>1060</v>
      </c>
      <c r="E13" s="102">
        <f t="shared" si="1"/>
        <v>1976</v>
      </c>
      <c r="F13" s="102">
        <f t="shared" si="2"/>
        <v>916</v>
      </c>
      <c r="G13" s="102">
        <f t="shared" si="3"/>
        <v>2280</v>
      </c>
    </row>
    <row r="14" spans="1:7" x14ac:dyDescent="0.2">
      <c r="A14" s="121">
        <v>45931</v>
      </c>
      <c r="B14" cm="1">
        <f t="array" ref="B14">INDEX(Spend_New[], ROWS(Spend_New[]), COLUMNS(Spend_New[])-1)</f>
        <v>1249</v>
      </c>
      <c r="C14" s="102">
        <f>SUMIF(Table3[Date],Calcs!A14,Table3[Amount])</f>
        <v>500</v>
      </c>
      <c r="D14" s="102">
        <f t="shared" si="0"/>
        <v>1749</v>
      </c>
      <c r="E14" s="102">
        <v>2178</v>
      </c>
      <c r="F14" s="102">
        <f t="shared" si="2"/>
        <v>429</v>
      </c>
      <c r="G14" s="102">
        <f t="shared" si="3"/>
        <v>2709</v>
      </c>
    </row>
    <row r="15" spans="1:7" x14ac:dyDescent="0.2">
      <c r="A15" s="121">
        <v>45962</v>
      </c>
      <c r="B15" cm="1">
        <f t="array" ref="B15">INDEX(Spend_New[], ROWS(Spend_New[]), COLUMNS(Spend_New[])-1)</f>
        <v>1249</v>
      </c>
      <c r="C15" s="102">
        <f>SUMIF(Table3[Date],Calcs!A15,Table3[Amount])</f>
        <v>450</v>
      </c>
      <c r="D15" s="102">
        <f t="shared" si="0"/>
        <v>1699</v>
      </c>
      <c r="E15" s="102">
        <v>2178</v>
      </c>
      <c r="F15" s="102">
        <f t="shared" si="2"/>
        <v>479</v>
      </c>
      <c r="G15" s="102">
        <f t="shared" si="3"/>
        <v>3188</v>
      </c>
    </row>
    <row r="16" spans="1:7" x14ac:dyDescent="0.2">
      <c r="A16" s="121">
        <v>45992</v>
      </c>
      <c r="B16" cm="1">
        <f t="array" ref="B16">INDEX(Spend_New[], ROWS(Spend_New[]), COLUMNS(Spend_New[])-1)</f>
        <v>1249</v>
      </c>
      <c r="C16" s="102">
        <f>SUMIF(Table3[Date],Calcs!A16,Table3[Amount])</f>
        <v>150</v>
      </c>
      <c r="D16" s="102">
        <f t="shared" si="0"/>
        <v>1399</v>
      </c>
      <c r="E16" s="102">
        <v>2178</v>
      </c>
      <c r="F16" s="102">
        <f t="shared" si="2"/>
        <v>779</v>
      </c>
      <c r="G16" s="102">
        <f t="shared" si="3"/>
        <v>3967</v>
      </c>
    </row>
    <row r="17" spans="1:7" x14ac:dyDescent="0.2">
      <c r="A17" s="121">
        <v>46023</v>
      </c>
      <c r="B17" cm="1">
        <f t="array" ref="B17">INDEX(Spend_New[], ROWS(Spend_New[]), COLUMNS(Spend_New[])-1)</f>
        <v>1249</v>
      </c>
      <c r="C17" s="102">
        <f>SUMIF(Table3[Date],Calcs!A17,Table3[Amount])</f>
        <v>395</v>
      </c>
      <c r="D17" s="102">
        <f t="shared" ref="D17:D28" si="4">SUM(B17:C17)</f>
        <v>1644</v>
      </c>
      <c r="E17" s="102">
        <v>2178</v>
      </c>
      <c r="F17" s="102">
        <f t="shared" ref="F17:F28" si="5">E17-D17</f>
        <v>534</v>
      </c>
      <c r="G17" s="102">
        <f t="shared" ref="G17:G28" si="6">G16+F17</f>
        <v>4501</v>
      </c>
    </row>
    <row r="18" spans="1:7" x14ac:dyDescent="0.2">
      <c r="A18" s="121">
        <v>46054</v>
      </c>
      <c r="B18" cm="1">
        <f t="array" ref="B18">INDEX(Spend_New[], ROWS(Spend_New[]), COLUMNS(Spend_New[])-1)</f>
        <v>1249</v>
      </c>
      <c r="C18" s="102">
        <f>SUMIF(Table3[Date],Calcs!A18,Table3[Amount])</f>
        <v>650</v>
      </c>
      <c r="D18" s="102">
        <f t="shared" si="4"/>
        <v>1899</v>
      </c>
      <c r="E18" s="102">
        <v>2178</v>
      </c>
      <c r="F18" s="102">
        <f t="shared" si="5"/>
        <v>279</v>
      </c>
      <c r="G18" s="102">
        <f t="shared" si="6"/>
        <v>4780</v>
      </c>
    </row>
    <row r="19" spans="1:7" x14ac:dyDescent="0.2">
      <c r="A19" s="121">
        <v>46082</v>
      </c>
      <c r="B19" cm="1">
        <f t="array" ref="B19">INDEX(Spend_New[], ROWS(Spend_New[]), COLUMNS(Spend_New[])-1)</f>
        <v>1249</v>
      </c>
      <c r="C19" s="102">
        <f>SUMIF(Table3[Date],Calcs!A19,Table3[Amount])</f>
        <v>1700</v>
      </c>
      <c r="D19" s="102">
        <f t="shared" si="4"/>
        <v>2949</v>
      </c>
      <c r="E19" s="125">
        <v>2317.02</v>
      </c>
      <c r="F19" s="102">
        <f t="shared" si="5"/>
        <v>-631.98</v>
      </c>
      <c r="G19" s="102">
        <f t="shared" si="6"/>
        <v>4148.0200000000004</v>
      </c>
    </row>
    <row r="20" spans="1:7" x14ac:dyDescent="0.2">
      <c r="A20" s="121">
        <v>46113</v>
      </c>
      <c r="B20" cm="1">
        <f t="array" ref="B20">INDEX(Spend_New[], ROWS(Spend_New[]), COLUMNS(Spend_New[])-1)</f>
        <v>1249</v>
      </c>
      <c r="C20" s="102">
        <f>SUMIF(Table3[Date],Calcs!A20,Table3[Amount])</f>
        <v>400</v>
      </c>
      <c r="D20" s="102">
        <f t="shared" si="4"/>
        <v>1649</v>
      </c>
      <c r="E20" s="125">
        <v>2317.02</v>
      </c>
      <c r="F20" s="102">
        <f t="shared" si="5"/>
        <v>668.02</v>
      </c>
      <c r="G20" s="102">
        <f t="shared" si="6"/>
        <v>4816.0400000000009</v>
      </c>
    </row>
    <row r="21" spans="1:7" x14ac:dyDescent="0.2">
      <c r="A21" s="121">
        <v>46143</v>
      </c>
      <c r="B21" cm="1">
        <f t="array" ref="B21">INDEX(Spend_New[], ROWS(Spend_New[]), COLUMNS(Spend_New[])-1)</f>
        <v>1249</v>
      </c>
      <c r="C21" s="102">
        <f>SUMIF(Table3[Date],Calcs!A21,Table3[Amount])</f>
        <v>1700</v>
      </c>
      <c r="D21" s="102">
        <f t="shared" si="4"/>
        <v>2949</v>
      </c>
      <c r="E21" s="125">
        <v>2317.02</v>
      </c>
      <c r="F21" s="102">
        <f t="shared" si="5"/>
        <v>-631.98</v>
      </c>
      <c r="G21" s="102">
        <f t="shared" si="6"/>
        <v>4184.0600000000013</v>
      </c>
    </row>
    <row r="22" spans="1:7" x14ac:dyDescent="0.2">
      <c r="A22" s="121">
        <v>46174</v>
      </c>
      <c r="B22" cm="1">
        <f t="array" ref="B22">INDEX(Spend_New[], ROWS(Spend_New[]), COLUMNS(Spend_New[])-1)</f>
        <v>1249</v>
      </c>
      <c r="C22" s="102">
        <f>SUMIF(Table3[Date],Calcs!A22,Table3[Amount])</f>
        <v>0</v>
      </c>
      <c r="D22" s="102">
        <f t="shared" si="4"/>
        <v>1249</v>
      </c>
      <c r="E22" s="125">
        <v>2317.02</v>
      </c>
      <c r="F22" s="102">
        <f t="shared" si="5"/>
        <v>1068.02</v>
      </c>
      <c r="G22" s="102">
        <f t="shared" si="6"/>
        <v>5252.0800000000017</v>
      </c>
    </row>
    <row r="23" spans="1:7" x14ac:dyDescent="0.2">
      <c r="A23" s="121">
        <v>46204</v>
      </c>
      <c r="B23" cm="1">
        <f t="array" ref="B23">INDEX(Spend_New[], ROWS(Spend_New[]), COLUMNS(Spend_New[])-1)</f>
        <v>1249</v>
      </c>
      <c r="C23" s="102">
        <f>SUMIF(Table3[Date],Calcs!A23,Table3[Amount])</f>
        <v>800</v>
      </c>
      <c r="D23" s="102">
        <f t="shared" si="4"/>
        <v>2049</v>
      </c>
      <c r="E23" s="125">
        <v>2317.02</v>
      </c>
      <c r="F23" s="102">
        <f t="shared" si="5"/>
        <v>268.02</v>
      </c>
      <c r="G23" s="102">
        <f t="shared" si="6"/>
        <v>5520.1000000000022</v>
      </c>
    </row>
    <row r="24" spans="1:7" x14ac:dyDescent="0.2">
      <c r="A24" s="121">
        <v>46235</v>
      </c>
      <c r="B24" cm="1">
        <f t="array" ref="B24">INDEX(Spend_New[], ROWS(Spend_New[]), COLUMNS(Spend_New[])-1)</f>
        <v>1249</v>
      </c>
      <c r="C24" s="102">
        <f>SUMIF(Table3[Date],Calcs!A24,Table3[Amount])</f>
        <v>0</v>
      </c>
      <c r="D24" s="102">
        <f t="shared" si="4"/>
        <v>1249</v>
      </c>
      <c r="E24" s="125">
        <v>2317.02</v>
      </c>
      <c r="F24" s="102">
        <f t="shared" si="5"/>
        <v>1068.02</v>
      </c>
      <c r="G24" s="102">
        <f t="shared" si="6"/>
        <v>6588.1200000000026</v>
      </c>
    </row>
    <row r="25" spans="1:7" x14ac:dyDescent="0.2">
      <c r="A25" s="121">
        <v>46266</v>
      </c>
      <c r="B25" cm="1">
        <f t="array" ref="B25">INDEX(Spend_New[], ROWS(Spend_New[]), COLUMNS(Spend_New[])-1)</f>
        <v>1249</v>
      </c>
      <c r="C25" s="102">
        <f>SUMIF(Table3[Date],Calcs!A25,Table3[Amount])</f>
        <v>450</v>
      </c>
      <c r="D25" s="102">
        <f t="shared" si="4"/>
        <v>1699</v>
      </c>
      <c r="E25" s="125">
        <v>2317.02</v>
      </c>
      <c r="F25" s="102">
        <f t="shared" si="5"/>
        <v>618.02</v>
      </c>
      <c r="G25" s="102">
        <f t="shared" si="6"/>
        <v>7206.1400000000031</v>
      </c>
    </row>
    <row r="26" spans="1:7" x14ac:dyDescent="0.2">
      <c r="A26" s="121">
        <v>46296</v>
      </c>
      <c r="B26" cm="1">
        <f t="array" ref="B26">INDEX(Spend_New[], ROWS(Spend_New[]), COLUMNS(Spend_New[])-1)</f>
        <v>1249</v>
      </c>
      <c r="C26" s="102">
        <f>SUMIF(Table3[Date],Calcs!A26,Table3[Amount])</f>
        <v>0</v>
      </c>
      <c r="D26" s="102">
        <f t="shared" si="4"/>
        <v>1249</v>
      </c>
      <c r="E26" s="125">
        <v>2317.02</v>
      </c>
      <c r="F26" s="102">
        <f t="shared" si="5"/>
        <v>1068.02</v>
      </c>
      <c r="G26" s="102">
        <f t="shared" si="6"/>
        <v>8274.1600000000035</v>
      </c>
    </row>
    <row r="27" spans="1:7" x14ac:dyDescent="0.2">
      <c r="A27" s="121">
        <v>46327</v>
      </c>
      <c r="B27" cm="1">
        <f t="array" ref="B27">INDEX(Spend_New[], ROWS(Spend_New[]), COLUMNS(Spend_New[])-1)</f>
        <v>1249</v>
      </c>
      <c r="C27" s="102">
        <f>SUMIF(Table3[Date],Calcs!A27,Table3[Amount])</f>
        <v>0</v>
      </c>
      <c r="D27" s="102">
        <f t="shared" si="4"/>
        <v>1249</v>
      </c>
      <c r="E27" s="125">
        <v>2317.02</v>
      </c>
      <c r="F27" s="102">
        <f t="shared" si="5"/>
        <v>1068.02</v>
      </c>
      <c r="G27" s="102">
        <f t="shared" si="6"/>
        <v>9342.1800000000039</v>
      </c>
    </row>
    <row r="28" spans="1:7" x14ac:dyDescent="0.2">
      <c r="A28" s="121">
        <v>46357</v>
      </c>
      <c r="B28" cm="1">
        <f t="array" ref="B28">INDEX(Spend_New[], ROWS(Spend_New[]), COLUMNS(Spend_New[])-1)</f>
        <v>1249</v>
      </c>
      <c r="C28" s="102">
        <f>SUMIF(Table3[Date],Calcs!A28,Table3[Amount])</f>
        <v>0</v>
      </c>
      <c r="D28" s="102">
        <f t="shared" si="4"/>
        <v>1249</v>
      </c>
      <c r="E28" s="125">
        <v>2317.02</v>
      </c>
      <c r="F28" s="102">
        <f t="shared" si="5"/>
        <v>1068.02</v>
      </c>
      <c r="G28" s="102">
        <f t="shared" si="6"/>
        <v>10410.200000000004</v>
      </c>
    </row>
    <row r="29" spans="1:7" x14ac:dyDescent="0.2">
      <c r="A29" s="121">
        <v>46388</v>
      </c>
      <c r="B29" cm="1">
        <f t="array" ref="B29">INDEX(Spend_New[], ROWS(Spend_New[]), COLUMNS(Spend_New[])-1)</f>
        <v>1249</v>
      </c>
      <c r="C29" s="102">
        <f>SUMIF(Table3[Date],Calcs!A29,Table3[Amount])</f>
        <v>0</v>
      </c>
      <c r="D29" s="102">
        <f t="shared" ref="D29" si="7">SUM(B29:C29)</f>
        <v>1249</v>
      </c>
      <c r="E29" s="125">
        <v>2318.02</v>
      </c>
      <c r="F29" s="102">
        <f t="shared" ref="F29" si="8">E29-D29</f>
        <v>1069.02</v>
      </c>
      <c r="G29" s="102">
        <f t="shared" ref="G29" si="9">G28+F29</f>
        <v>11479.220000000005</v>
      </c>
    </row>
    <row r="30" spans="1:7" x14ac:dyDescent="0.2">
      <c r="A30" s="99"/>
    </row>
    <row r="31" spans="1:7" x14ac:dyDescent="0.2">
      <c r="A31" s="99"/>
      <c r="F31" s="102"/>
    </row>
    <row r="32" spans="1:7" x14ac:dyDescent="0.2">
      <c r="A32" s="99"/>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FA0CE-04DA-9241-B259-044D89CC2E84}">
  <sheetPr>
    <tabColor theme="8"/>
  </sheetPr>
  <dimension ref="A1:E23"/>
  <sheetViews>
    <sheetView workbookViewId="0">
      <selection activeCell="I31" sqref="I31"/>
    </sheetView>
  </sheetViews>
  <sheetFormatPr baseColWidth="10" defaultRowHeight="15" x14ac:dyDescent="0.2"/>
  <cols>
    <col min="1" max="1" width="12.83203125" bestFit="1" customWidth="1"/>
    <col min="2" max="2" width="16.83203125" customWidth="1"/>
    <col min="3" max="3" width="15.1640625" customWidth="1"/>
    <col min="4" max="4" width="17" customWidth="1"/>
    <col min="5" max="5" width="15.33203125" bestFit="1" customWidth="1"/>
  </cols>
  <sheetData>
    <row r="1" spans="1:5" ht="21" thickBot="1" x14ac:dyDescent="0.3">
      <c r="A1" s="119" t="s">
        <v>150</v>
      </c>
    </row>
    <row r="2" spans="1:5" ht="16" thickTop="1" x14ac:dyDescent="0.2"/>
    <row r="3" spans="1:5" x14ac:dyDescent="0.2">
      <c r="A3" t="s">
        <v>161</v>
      </c>
    </row>
    <row r="4" spans="1:5" x14ac:dyDescent="0.2">
      <c r="A4" t="s">
        <v>40</v>
      </c>
      <c r="B4" t="s">
        <v>121</v>
      </c>
      <c r="C4" t="s">
        <v>151</v>
      </c>
      <c r="D4" t="s">
        <v>175</v>
      </c>
      <c r="E4" t="s">
        <v>176</v>
      </c>
    </row>
    <row r="5" spans="1:5" x14ac:dyDescent="0.2">
      <c r="A5" s="121">
        <v>45839</v>
      </c>
      <c r="B5">
        <f>VLOOKUP(Projections!A5,Calcs!$A:$G,4,FALSE)</f>
        <v>1410</v>
      </c>
      <c r="C5">
        <f>VLOOKUP(Projections!A5,Calcs!$A:$G,6,FALSE)</f>
        <v>566</v>
      </c>
      <c r="D5">
        <f>GETPIVOTDATA("Amount",'Net Worth Dashboard'!$A$42,"Date",DATE(2025,7,1))</f>
        <v>24885</v>
      </c>
      <c r="E5">
        <f>GETPIVOTDATA("Amount",'Net Worth Dashboard'!$A$42,"Date",DATE(2025,7,1))</f>
        <v>24885</v>
      </c>
    </row>
    <row r="6" spans="1:5" x14ac:dyDescent="0.2">
      <c r="A6" s="121">
        <v>45870</v>
      </c>
      <c r="B6">
        <f>VLOOKUP(Projections!A6,Calcs!$A:$G,4,FALSE)</f>
        <v>1160</v>
      </c>
      <c r="C6">
        <f>VLOOKUP(Projections!A6,Calcs!$A:$G,6,FALSE)</f>
        <v>816</v>
      </c>
      <c r="D6">
        <f>D5+C6</f>
        <v>25701</v>
      </c>
      <c r="E6">
        <f>GETPIVOTDATA("Amount",'Net Worth Input'!$A$123,"Date",DATE(2025,8,3))</f>
        <v>25952</v>
      </c>
    </row>
    <row r="7" spans="1:5" x14ac:dyDescent="0.2">
      <c r="A7" s="121">
        <v>45901</v>
      </c>
      <c r="B7">
        <f>VLOOKUP(Projections!A7,Calcs!$A:$G,4,FALSE)</f>
        <v>1060</v>
      </c>
      <c r="C7">
        <f>VLOOKUP(Projections!A7,Calcs!$A:$G,6,FALSE)</f>
        <v>916</v>
      </c>
      <c r="D7">
        <f t="shared" ref="D7:D11" si="0">D6+C7</f>
        <v>26617</v>
      </c>
      <c r="E7">
        <f>(E6+E8)/2</f>
        <v>26977.505000000001</v>
      </c>
    </row>
    <row r="8" spans="1:5" x14ac:dyDescent="0.2">
      <c r="A8" s="121">
        <v>45931</v>
      </c>
      <c r="B8">
        <f>VLOOKUP(Projections!A8,Calcs!$A:$G,4,FALSE)</f>
        <v>1749</v>
      </c>
      <c r="C8">
        <f>VLOOKUP(Projections!A8,Calcs!$A:$G,6,FALSE)</f>
        <v>429</v>
      </c>
      <c r="D8">
        <f t="shared" si="0"/>
        <v>27046</v>
      </c>
      <c r="E8" s="127">
        <f>GETPIVOTDATA("Amount",'Net Worth Input'!$A$123,"Date",DATE(2025,11,1))</f>
        <v>28003.010000000002</v>
      </c>
    </row>
    <row r="9" spans="1:5" x14ac:dyDescent="0.2">
      <c r="A9" s="121">
        <v>45962</v>
      </c>
      <c r="B9">
        <f>VLOOKUP(Projections!A9,Calcs!$A:$G,4,FALSE)</f>
        <v>1699</v>
      </c>
      <c r="C9">
        <f>VLOOKUP(Projections!A9,Calcs!$A:$G,6,FALSE)</f>
        <v>479</v>
      </c>
      <c r="D9">
        <f t="shared" si="0"/>
        <v>27525</v>
      </c>
      <c r="E9">
        <f>GETPIVOTDATA("Amount",'Net Worth Input'!$A$123,"Date",DATE(2025,12,9))</f>
        <v>27601.05</v>
      </c>
    </row>
    <row r="10" spans="1:5" x14ac:dyDescent="0.2">
      <c r="A10" s="121">
        <v>45992</v>
      </c>
      <c r="B10">
        <f>VLOOKUP(Projections!A10,Calcs!$A:$G,4,FALSE)</f>
        <v>1399</v>
      </c>
      <c r="C10">
        <f>VLOOKUP(Projections!A10,Calcs!$A:$G,6,FALSE)</f>
        <v>779</v>
      </c>
      <c r="D10">
        <f t="shared" si="0"/>
        <v>28304</v>
      </c>
      <c r="E10">
        <f>GETPIVOTDATA("Amount",'Net Worth Input'!$A$123,"Date",DATE(2025,12,30))</f>
        <v>28948</v>
      </c>
    </row>
    <row r="11" spans="1:5" x14ac:dyDescent="0.2">
      <c r="A11" s="121">
        <v>46023</v>
      </c>
      <c r="B11">
        <f>VLOOKUP(Projections!A11,Calcs!$A:$G,4,FALSE)</f>
        <v>1644</v>
      </c>
      <c r="C11">
        <f>VLOOKUP(Projections!A11,Calcs!$A:$G,6,FALSE)</f>
        <v>534</v>
      </c>
      <c r="D11">
        <f t="shared" si="0"/>
        <v>28838</v>
      </c>
      <c r="E11">
        <f>GETPIVOTDATA("Amount",'Net Worth Input'!$A$123,"Date",DATE(2026,2,10))</f>
        <v>26608</v>
      </c>
    </row>
    <row r="12" spans="1:5" x14ac:dyDescent="0.2">
      <c r="A12" s="121">
        <v>46054</v>
      </c>
      <c r="B12">
        <f>VLOOKUP(Projections!A12,Calcs!$A:$G,4,FALSE)</f>
        <v>1899</v>
      </c>
      <c r="C12">
        <f>VLOOKUP(Projections!A12,Calcs!$A:$G,6,FALSE)</f>
        <v>279</v>
      </c>
      <c r="D12">
        <f t="shared" ref="D12:D22" si="1">D11+C12</f>
        <v>29117</v>
      </c>
      <c r="E12" s="127">
        <f>(E11+E13)/2</f>
        <v>26248.114999999998</v>
      </c>
    </row>
    <row r="13" spans="1:5" x14ac:dyDescent="0.2">
      <c r="A13" s="121">
        <v>46082</v>
      </c>
      <c r="B13">
        <f>VLOOKUP(Projections!A13,Calcs!$A:$G,4,FALSE)</f>
        <v>2949</v>
      </c>
      <c r="C13">
        <f>VLOOKUP(Projections!A13,Calcs!$A:$G,6,FALSE)</f>
        <v>-631.98</v>
      </c>
      <c r="D13">
        <f t="shared" si="1"/>
        <v>28485.02</v>
      </c>
      <c r="E13">
        <f>GETPIVOTDATA("Amount",'Net Worth Input'!$A$123,"Date",DATE(2026,4,6))</f>
        <v>25888.23</v>
      </c>
    </row>
    <row r="14" spans="1:5" x14ac:dyDescent="0.2">
      <c r="A14" s="121">
        <v>46113</v>
      </c>
      <c r="B14">
        <f>VLOOKUP(Projections!A14,Calcs!$A:$G,4,FALSE)</f>
        <v>1649</v>
      </c>
      <c r="C14">
        <f>VLOOKUP(Projections!A14,Calcs!$A:$G,6,FALSE)</f>
        <v>668.02</v>
      </c>
      <c r="D14">
        <f t="shared" si="1"/>
        <v>29153.040000000001</v>
      </c>
      <c r="E14">
        <f>GETPIVOTDATA("Amount",'Net Worth Input'!$A$123,"Date",DATE(2026,5,15))</f>
        <v>26766</v>
      </c>
    </row>
    <row r="15" spans="1:5" x14ac:dyDescent="0.2">
      <c r="A15" s="121">
        <v>46143</v>
      </c>
      <c r="B15">
        <f>VLOOKUP(Projections!A15,Calcs!$A:$G,4,FALSE)</f>
        <v>2949</v>
      </c>
      <c r="C15">
        <f>VLOOKUP(Projections!A15,Calcs!$A:$G,6,FALSE)</f>
        <v>-631.98</v>
      </c>
      <c r="D15">
        <f t="shared" si="1"/>
        <v>28521.06</v>
      </c>
      <c r="E15">
        <f>GETPIVOTDATA("Amount",'Net Worth Input'!$A$123,"Date",DATE(2026,6,4))-15000</f>
        <v>27093</v>
      </c>
    </row>
    <row r="16" spans="1:5" x14ac:dyDescent="0.2">
      <c r="A16" s="121">
        <v>46174</v>
      </c>
      <c r="B16">
        <f>VLOOKUP(Projections!A16,Calcs!$A:$G,4,FALSE)</f>
        <v>1249</v>
      </c>
      <c r="C16">
        <f>VLOOKUP(Projections!A16,Calcs!$A:$G,6,FALSE)</f>
        <v>1068.02</v>
      </c>
      <c r="D16">
        <f t="shared" si="1"/>
        <v>29589.08</v>
      </c>
    </row>
    <row r="17" spans="1:4" x14ac:dyDescent="0.2">
      <c r="A17" s="121">
        <v>46204</v>
      </c>
      <c r="B17">
        <f>VLOOKUP(Projections!A17,Calcs!$A:$G,4,FALSE)</f>
        <v>2049</v>
      </c>
      <c r="C17">
        <f>VLOOKUP(Projections!A17,Calcs!$A:$G,6,FALSE)</f>
        <v>268.02</v>
      </c>
      <c r="D17">
        <f t="shared" si="1"/>
        <v>29857.100000000002</v>
      </c>
    </row>
    <row r="18" spans="1:4" x14ac:dyDescent="0.2">
      <c r="A18" s="121">
        <v>46235</v>
      </c>
      <c r="B18">
        <f>VLOOKUP(Projections!A18,Calcs!$A:$G,4,FALSE)</f>
        <v>1249</v>
      </c>
      <c r="C18">
        <f>VLOOKUP(Projections!A18,Calcs!$A:$G,6,FALSE)</f>
        <v>1068.02</v>
      </c>
      <c r="D18">
        <f t="shared" si="1"/>
        <v>30925.120000000003</v>
      </c>
    </row>
    <row r="19" spans="1:4" x14ac:dyDescent="0.2">
      <c r="A19" s="121">
        <v>46266</v>
      </c>
      <c r="B19">
        <f>VLOOKUP(Projections!A19,Calcs!$A:$G,4,FALSE)</f>
        <v>1699</v>
      </c>
      <c r="C19">
        <f>VLOOKUP(Projections!A19,Calcs!$A:$G,6,FALSE)</f>
        <v>618.02</v>
      </c>
      <c r="D19">
        <f t="shared" si="1"/>
        <v>31543.140000000003</v>
      </c>
    </row>
    <row r="20" spans="1:4" x14ac:dyDescent="0.2">
      <c r="A20" s="121">
        <v>46296</v>
      </c>
      <c r="B20">
        <f>VLOOKUP(Projections!A20,Calcs!$A:$G,4,FALSE)</f>
        <v>1249</v>
      </c>
      <c r="C20">
        <f>VLOOKUP(Projections!A20,Calcs!$A:$G,6,FALSE)</f>
        <v>1068.02</v>
      </c>
      <c r="D20">
        <f t="shared" si="1"/>
        <v>32611.160000000003</v>
      </c>
    </row>
    <row r="21" spans="1:4" x14ac:dyDescent="0.2">
      <c r="A21" s="121">
        <v>46327</v>
      </c>
      <c r="B21">
        <f>VLOOKUP(Projections!A21,Calcs!$A:$G,4,FALSE)</f>
        <v>1249</v>
      </c>
      <c r="C21">
        <f>VLOOKUP(Projections!A21,Calcs!$A:$G,6,FALSE)</f>
        <v>1068.02</v>
      </c>
      <c r="D21">
        <f t="shared" si="1"/>
        <v>33679.18</v>
      </c>
    </row>
    <row r="22" spans="1:4" x14ac:dyDescent="0.2">
      <c r="A22" s="121">
        <v>46357</v>
      </c>
      <c r="B22">
        <f>VLOOKUP(Projections!A22,Calcs!$A:$G,4,FALSE)</f>
        <v>1249</v>
      </c>
      <c r="C22">
        <f>VLOOKUP(Projections!A22,Calcs!$A:$G,6,FALSE)</f>
        <v>1068.02</v>
      </c>
      <c r="D22">
        <f t="shared" si="1"/>
        <v>34747.199999999997</v>
      </c>
    </row>
    <row r="23" spans="1:4" x14ac:dyDescent="0.2">
      <c r="A23" s="121">
        <v>46388</v>
      </c>
      <c r="B23">
        <f>VLOOKUP(Projections!A23,Calcs!$A:$G,4,FALSE)</f>
        <v>1249</v>
      </c>
      <c r="C23">
        <f>VLOOKUP(Projections!A23,Calcs!$A:$G,6,FALSE)</f>
        <v>1069.02</v>
      </c>
      <c r="D23">
        <f t="shared" ref="D23" si="2">D22+C23</f>
        <v>35816.219999999994</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17775-E673-A945-B771-84AB56D4365F}">
  <sheetPr>
    <tabColor theme="9" tint="0.59999389629810485"/>
  </sheetPr>
  <dimension ref="A3:AY46"/>
  <sheetViews>
    <sheetView zoomScale="135" zoomScaleNormal="100" workbookViewId="0">
      <pane xSplit="2" topLeftCell="R1" activePane="topRight" state="frozen"/>
      <selection pane="topRight" activeCell="AD21" sqref="AD21:AR22"/>
    </sheetView>
  </sheetViews>
  <sheetFormatPr baseColWidth="10" defaultColWidth="8.83203125" defaultRowHeight="15" x14ac:dyDescent="0.2"/>
  <cols>
    <col min="1" max="1" width="13.5" bestFit="1" customWidth="1"/>
    <col min="2" max="2" width="14.83203125" customWidth="1"/>
    <col min="3" max="17" width="8.83203125" hidden="1" customWidth="1"/>
    <col min="18" max="18" width="8.83203125" customWidth="1"/>
  </cols>
  <sheetData>
    <row r="3" spans="1:51" s="18" customFormat="1" x14ac:dyDescent="0.2">
      <c r="A3" s="4"/>
      <c r="B3" s="10" t="s">
        <v>0</v>
      </c>
      <c r="C3" s="4">
        <v>45544</v>
      </c>
      <c r="D3" s="4">
        <f t="shared" ref="D3:L3" si="0">C3+7</f>
        <v>45551</v>
      </c>
      <c r="E3" s="4">
        <f t="shared" si="0"/>
        <v>45558</v>
      </c>
      <c r="F3" s="4">
        <f t="shared" si="0"/>
        <v>45565</v>
      </c>
      <c r="G3" s="4">
        <f t="shared" si="0"/>
        <v>45572</v>
      </c>
      <c r="H3" s="4">
        <f t="shared" si="0"/>
        <v>45579</v>
      </c>
      <c r="I3" s="4">
        <f t="shared" si="0"/>
        <v>45586</v>
      </c>
      <c r="J3" s="4">
        <f t="shared" si="0"/>
        <v>45593</v>
      </c>
      <c r="K3" s="4">
        <f t="shared" si="0"/>
        <v>45600</v>
      </c>
      <c r="L3" s="4">
        <f t="shared" si="0"/>
        <v>45607</v>
      </c>
      <c r="M3" s="4">
        <f t="shared" ref="M3:R3" si="1">L3+7</f>
        <v>45614</v>
      </c>
      <c r="N3" s="4">
        <f t="shared" si="1"/>
        <v>45621</v>
      </c>
      <c r="O3" s="4">
        <f t="shared" si="1"/>
        <v>45628</v>
      </c>
      <c r="P3" s="4">
        <f t="shared" si="1"/>
        <v>45635</v>
      </c>
      <c r="Q3" s="4">
        <f t="shared" si="1"/>
        <v>45642</v>
      </c>
      <c r="R3" s="4">
        <f t="shared" si="1"/>
        <v>45649</v>
      </c>
      <c r="S3" s="4">
        <f t="shared" ref="S3:AY3" si="2">R3+7</f>
        <v>45656</v>
      </c>
      <c r="T3" s="4">
        <f t="shared" si="2"/>
        <v>45663</v>
      </c>
      <c r="U3" s="4">
        <f t="shared" si="2"/>
        <v>45670</v>
      </c>
      <c r="V3" s="4">
        <f t="shared" si="2"/>
        <v>45677</v>
      </c>
      <c r="W3" s="4">
        <f t="shared" si="2"/>
        <v>45684</v>
      </c>
      <c r="X3" s="4">
        <f t="shared" si="2"/>
        <v>45691</v>
      </c>
      <c r="Y3" s="4">
        <f t="shared" si="2"/>
        <v>45698</v>
      </c>
      <c r="Z3" s="4">
        <f t="shared" si="2"/>
        <v>45705</v>
      </c>
      <c r="AA3" s="4">
        <f t="shared" si="2"/>
        <v>45712</v>
      </c>
      <c r="AB3" s="4">
        <f t="shared" si="2"/>
        <v>45719</v>
      </c>
      <c r="AC3" s="4">
        <f t="shared" si="2"/>
        <v>45726</v>
      </c>
      <c r="AD3" s="4">
        <f t="shared" si="2"/>
        <v>45733</v>
      </c>
      <c r="AE3" s="4">
        <f t="shared" si="2"/>
        <v>45740</v>
      </c>
      <c r="AF3" s="4">
        <f t="shared" si="2"/>
        <v>45747</v>
      </c>
      <c r="AG3" s="4">
        <f t="shared" si="2"/>
        <v>45754</v>
      </c>
      <c r="AH3" s="4">
        <f t="shared" si="2"/>
        <v>45761</v>
      </c>
      <c r="AI3" s="4">
        <f t="shared" si="2"/>
        <v>45768</v>
      </c>
      <c r="AJ3" s="4">
        <f t="shared" si="2"/>
        <v>45775</v>
      </c>
      <c r="AK3" s="4">
        <f t="shared" si="2"/>
        <v>45782</v>
      </c>
      <c r="AL3" s="4">
        <f t="shared" si="2"/>
        <v>45789</v>
      </c>
      <c r="AM3" s="4">
        <f t="shared" si="2"/>
        <v>45796</v>
      </c>
      <c r="AN3" s="4">
        <f t="shared" si="2"/>
        <v>45803</v>
      </c>
      <c r="AO3" s="4">
        <f t="shared" si="2"/>
        <v>45810</v>
      </c>
      <c r="AP3" s="4">
        <f t="shared" si="2"/>
        <v>45817</v>
      </c>
      <c r="AQ3" s="4">
        <f t="shared" si="2"/>
        <v>45824</v>
      </c>
      <c r="AR3" s="4">
        <f t="shared" si="2"/>
        <v>45831</v>
      </c>
      <c r="AS3" s="4">
        <f t="shared" si="2"/>
        <v>45838</v>
      </c>
      <c r="AT3" s="4">
        <f t="shared" si="2"/>
        <v>45845</v>
      </c>
      <c r="AU3" s="4">
        <f t="shared" si="2"/>
        <v>45852</v>
      </c>
      <c r="AV3" s="4">
        <f t="shared" si="2"/>
        <v>45859</v>
      </c>
      <c r="AW3" s="4">
        <f t="shared" si="2"/>
        <v>45866</v>
      </c>
      <c r="AX3" s="4">
        <f t="shared" si="2"/>
        <v>45873</v>
      </c>
      <c r="AY3" s="4">
        <f t="shared" si="2"/>
        <v>45880</v>
      </c>
    </row>
    <row r="4" spans="1:51" x14ac:dyDescent="0.2">
      <c r="A4" s="6" t="s">
        <v>1</v>
      </c>
      <c r="B4" s="6" t="s">
        <v>16</v>
      </c>
      <c r="C4" s="5"/>
      <c r="D4" s="5"/>
      <c r="E4" s="5"/>
      <c r="F4" s="5">
        <v>1700</v>
      </c>
      <c r="G4" s="5"/>
      <c r="H4" s="5"/>
      <c r="I4" s="5"/>
      <c r="J4" s="5">
        <v>1700</v>
      </c>
      <c r="K4" s="5"/>
      <c r="L4" s="5"/>
      <c r="M4" s="5"/>
      <c r="N4" s="5">
        <v>1700</v>
      </c>
      <c r="O4" s="5"/>
      <c r="P4" s="5"/>
      <c r="Q4" s="5"/>
      <c r="R4" s="5"/>
      <c r="S4" s="5"/>
      <c r="T4" s="5"/>
      <c r="U4" s="5"/>
      <c r="V4" s="5"/>
      <c r="W4" s="5">
        <v>1900</v>
      </c>
      <c r="X4" s="5"/>
      <c r="Y4" s="5"/>
      <c r="Z4" s="5">
        <v>1900</v>
      </c>
      <c r="AA4" s="5"/>
      <c r="AB4" s="5"/>
      <c r="AC4" s="5"/>
      <c r="AD4" s="5"/>
      <c r="AE4" s="5">
        <v>1900</v>
      </c>
      <c r="AF4" s="5"/>
      <c r="AG4" s="5"/>
      <c r="AH4" s="5"/>
      <c r="AI4" s="5"/>
      <c r="AJ4" s="5">
        <v>1900</v>
      </c>
      <c r="AK4" s="5"/>
      <c r="AL4" s="5"/>
      <c r="AM4" s="5">
        <v>1900</v>
      </c>
      <c r="AN4" s="5"/>
      <c r="AO4" s="5"/>
      <c r="AP4" s="5"/>
      <c r="AQ4" s="5"/>
      <c r="AR4" s="5"/>
      <c r="AS4" s="5"/>
      <c r="AT4" s="5"/>
      <c r="AU4" s="5"/>
      <c r="AV4" s="5"/>
      <c r="AW4" s="5"/>
      <c r="AX4" s="5"/>
      <c r="AY4" s="5"/>
    </row>
    <row r="5" spans="1:51" ht="16" thickBot="1" x14ac:dyDescent="0.25">
      <c r="A5" s="13"/>
      <c r="B5" s="14" t="s">
        <v>4</v>
      </c>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row>
    <row r="6" spans="1:51" s="1" customFormat="1" x14ac:dyDescent="0.2">
      <c r="A6" s="11"/>
      <c r="B6" s="12" t="s">
        <v>5</v>
      </c>
      <c r="C6" s="11">
        <f t="shared" ref="C6:L6" si="3">SUM(C4:C5)</f>
        <v>0</v>
      </c>
      <c r="D6" s="11">
        <f t="shared" si="3"/>
        <v>0</v>
      </c>
      <c r="E6" s="11">
        <f t="shared" si="3"/>
        <v>0</v>
      </c>
      <c r="F6" s="11">
        <f t="shared" si="3"/>
        <v>1700</v>
      </c>
      <c r="G6" s="11">
        <f t="shared" si="3"/>
        <v>0</v>
      </c>
      <c r="H6" s="11">
        <f t="shared" si="3"/>
        <v>0</v>
      </c>
      <c r="I6" s="11">
        <f t="shared" si="3"/>
        <v>0</v>
      </c>
      <c r="J6" s="11">
        <f t="shared" si="3"/>
        <v>1700</v>
      </c>
      <c r="K6" s="11">
        <f t="shared" si="3"/>
        <v>0</v>
      </c>
      <c r="L6" s="11">
        <f t="shared" si="3"/>
        <v>0</v>
      </c>
      <c r="M6" s="11">
        <f t="shared" ref="M6:R6" si="4">SUM(M4:M5)</f>
        <v>0</v>
      </c>
      <c r="N6" s="11">
        <f t="shared" si="4"/>
        <v>1700</v>
      </c>
      <c r="O6" s="11">
        <f t="shared" si="4"/>
        <v>0</v>
      </c>
      <c r="P6" s="11">
        <f t="shared" si="4"/>
        <v>0</v>
      </c>
      <c r="Q6" s="11">
        <f t="shared" si="4"/>
        <v>0</v>
      </c>
      <c r="R6" s="11">
        <f t="shared" si="4"/>
        <v>0</v>
      </c>
      <c r="S6" s="11">
        <f t="shared" ref="S6:AO6" si="5">SUM(S4:S5)</f>
        <v>0</v>
      </c>
      <c r="T6" s="11">
        <f t="shared" si="5"/>
        <v>0</v>
      </c>
      <c r="U6" s="11">
        <f t="shared" si="5"/>
        <v>0</v>
      </c>
      <c r="V6" s="11">
        <f t="shared" si="5"/>
        <v>0</v>
      </c>
      <c r="W6" s="11">
        <f>SUM(W4:W5)</f>
        <v>1900</v>
      </c>
      <c r="X6" s="11">
        <f t="shared" si="5"/>
        <v>0</v>
      </c>
      <c r="Y6" s="11">
        <f t="shared" si="5"/>
        <v>0</v>
      </c>
      <c r="Z6" s="11">
        <f t="shared" si="5"/>
        <v>1900</v>
      </c>
      <c r="AA6" s="11">
        <f t="shared" si="5"/>
        <v>0</v>
      </c>
      <c r="AB6" s="11">
        <f t="shared" si="5"/>
        <v>0</v>
      </c>
      <c r="AC6" s="11">
        <f t="shared" si="5"/>
        <v>0</v>
      </c>
      <c r="AD6" s="11">
        <f t="shared" si="5"/>
        <v>0</v>
      </c>
      <c r="AE6" s="11">
        <f t="shared" si="5"/>
        <v>1900</v>
      </c>
      <c r="AF6" s="11">
        <f t="shared" si="5"/>
        <v>0</v>
      </c>
      <c r="AG6" s="11">
        <f t="shared" si="5"/>
        <v>0</v>
      </c>
      <c r="AH6" s="11">
        <f t="shared" si="5"/>
        <v>0</v>
      </c>
      <c r="AI6" s="11">
        <f t="shared" si="5"/>
        <v>0</v>
      </c>
      <c r="AJ6" s="11">
        <f t="shared" si="5"/>
        <v>1900</v>
      </c>
      <c r="AK6" s="11">
        <f t="shared" si="5"/>
        <v>0</v>
      </c>
      <c r="AL6" s="11">
        <f t="shared" si="5"/>
        <v>0</v>
      </c>
      <c r="AM6" s="11">
        <f t="shared" si="5"/>
        <v>1900</v>
      </c>
      <c r="AN6" s="11">
        <f t="shared" si="5"/>
        <v>0</v>
      </c>
      <c r="AO6" s="11">
        <f t="shared" si="5"/>
        <v>0</v>
      </c>
      <c r="AP6" s="11">
        <f t="shared" ref="AP6:AY6" si="6">SUM(AP4:AP5)</f>
        <v>0</v>
      </c>
      <c r="AQ6" s="11">
        <f t="shared" si="6"/>
        <v>0</v>
      </c>
      <c r="AR6" s="11">
        <f t="shared" si="6"/>
        <v>0</v>
      </c>
      <c r="AS6" s="11">
        <f t="shared" si="6"/>
        <v>0</v>
      </c>
      <c r="AT6" s="11">
        <f t="shared" si="6"/>
        <v>0</v>
      </c>
      <c r="AU6" s="11">
        <f t="shared" si="6"/>
        <v>0</v>
      </c>
      <c r="AV6" s="11">
        <f t="shared" si="6"/>
        <v>0</v>
      </c>
      <c r="AW6" s="11">
        <f t="shared" si="6"/>
        <v>0</v>
      </c>
      <c r="AX6" s="11">
        <f t="shared" si="6"/>
        <v>0</v>
      </c>
      <c r="AY6" s="11">
        <f t="shared" si="6"/>
        <v>0</v>
      </c>
    </row>
    <row r="7" spans="1:51" x14ac:dyDescent="0.2">
      <c r="A7" s="6" t="s">
        <v>2</v>
      </c>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row>
    <row r="8" spans="1:51" x14ac:dyDescent="0.2">
      <c r="A8" s="5"/>
      <c r="B8" s="6" t="s">
        <v>49</v>
      </c>
      <c r="C8" s="5"/>
      <c r="D8" s="5"/>
      <c r="E8" s="5"/>
      <c r="F8" s="5">
        <v>400</v>
      </c>
      <c r="G8" s="5"/>
      <c r="H8" s="5"/>
      <c r="I8" s="5"/>
      <c r="J8" s="5">
        <v>400</v>
      </c>
      <c r="K8" s="5"/>
      <c r="L8" s="5"/>
      <c r="M8" s="5"/>
      <c r="N8" s="5">
        <v>400</v>
      </c>
      <c r="O8" s="5"/>
      <c r="P8" s="5"/>
      <c r="Q8" s="5"/>
      <c r="R8" s="5"/>
      <c r="S8" s="5">
        <v>400</v>
      </c>
      <c r="T8" s="5"/>
      <c r="U8" s="5"/>
      <c r="V8" s="5"/>
      <c r="W8" s="5">
        <v>400</v>
      </c>
      <c r="X8" s="5"/>
      <c r="Y8" s="5"/>
      <c r="Z8" s="5"/>
      <c r="AA8" s="5">
        <v>400</v>
      </c>
      <c r="AB8" s="5"/>
      <c r="AC8" s="5"/>
      <c r="AD8" s="5"/>
      <c r="AE8" s="5"/>
      <c r="AF8" s="5">
        <v>400</v>
      </c>
      <c r="AG8" s="5"/>
      <c r="AH8" s="5"/>
      <c r="AI8" s="5"/>
      <c r="AJ8" s="5">
        <v>400</v>
      </c>
      <c r="AK8" s="5"/>
      <c r="AL8" s="5"/>
      <c r="AM8" s="5"/>
      <c r="AN8" s="5">
        <v>400</v>
      </c>
      <c r="AO8" s="5"/>
      <c r="AP8" s="5"/>
      <c r="AQ8" s="5"/>
      <c r="AR8" s="5"/>
      <c r="AS8" s="5"/>
      <c r="AT8" s="5"/>
      <c r="AU8" s="5"/>
      <c r="AV8" s="5"/>
      <c r="AW8" s="5"/>
      <c r="AX8" s="5"/>
      <c r="AY8" s="5"/>
    </row>
    <row r="9" spans="1:51" x14ac:dyDescent="0.2">
      <c r="A9" s="6"/>
      <c r="B9" s="6" t="s">
        <v>3</v>
      </c>
      <c r="C9" s="20">
        <v>20</v>
      </c>
      <c r="D9" s="20">
        <v>20</v>
      </c>
      <c r="E9" s="20">
        <v>20</v>
      </c>
      <c r="F9" s="20">
        <v>20</v>
      </c>
      <c r="G9" s="20">
        <v>20</v>
      </c>
      <c r="H9" s="20">
        <v>20</v>
      </c>
      <c r="I9" s="20">
        <v>20</v>
      </c>
      <c r="J9" s="20">
        <v>20</v>
      </c>
      <c r="K9" s="20">
        <v>20</v>
      </c>
      <c r="L9" s="20">
        <v>20</v>
      </c>
      <c r="M9" s="20">
        <v>20</v>
      </c>
      <c r="N9" s="20">
        <v>20</v>
      </c>
      <c r="O9" s="20">
        <v>20</v>
      </c>
      <c r="P9" s="20">
        <v>20</v>
      </c>
      <c r="Q9" s="20">
        <v>20</v>
      </c>
      <c r="R9" s="20">
        <v>20</v>
      </c>
      <c r="S9" s="20">
        <v>20</v>
      </c>
      <c r="T9" s="20">
        <v>20</v>
      </c>
      <c r="U9" s="20">
        <v>20</v>
      </c>
      <c r="V9" s="20">
        <v>20</v>
      </c>
      <c r="W9" s="20">
        <v>20</v>
      </c>
      <c r="X9" s="20">
        <v>20</v>
      </c>
      <c r="Y9" s="20">
        <v>20</v>
      </c>
      <c r="Z9" s="20">
        <v>20</v>
      </c>
      <c r="AA9" s="20">
        <v>20</v>
      </c>
      <c r="AB9" s="20">
        <v>20</v>
      </c>
      <c r="AC9" s="20">
        <v>20</v>
      </c>
      <c r="AD9" s="20">
        <v>20</v>
      </c>
      <c r="AE9" s="20">
        <v>20</v>
      </c>
      <c r="AF9" s="20">
        <v>20</v>
      </c>
      <c r="AG9" s="20">
        <v>20</v>
      </c>
      <c r="AH9" s="20">
        <v>20</v>
      </c>
      <c r="AI9" s="20">
        <v>20</v>
      </c>
      <c r="AJ9" s="20">
        <v>20</v>
      </c>
      <c r="AK9" s="20">
        <v>20</v>
      </c>
      <c r="AL9" s="20">
        <v>20</v>
      </c>
      <c r="AM9" s="20">
        <v>20</v>
      </c>
      <c r="AN9" s="20">
        <v>20</v>
      </c>
      <c r="AO9" s="20">
        <v>20</v>
      </c>
      <c r="AP9" s="20">
        <v>20</v>
      </c>
      <c r="AQ9" s="20">
        <v>20</v>
      </c>
      <c r="AR9" s="20">
        <v>20</v>
      </c>
      <c r="AS9" s="20">
        <v>20</v>
      </c>
      <c r="AT9" s="20">
        <v>20</v>
      </c>
      <c r="AU9" s="20">
        <v>20</v>
      </c>
      <c r="AV9" s="20">
        <v>20</v>
      </c>
      <c r="AW9" s="20">
        <v>20</v>
      </c>
      <c r="AX9" s="20">
        <v>20</v>
      </c>
      <c r="AY9" s="20">
        <v>20</v>
      </c>
    </row>
    <row r="10" spans="1:51" x14ac:dyDescent="0.2">
      <c r="A10" s="6"/>
      <c r="B10" s="6" t="s">
        <v>47</v>
      </c>
      <c r="C10" s="20"/>
      <c r="D10" s="20"/>
      <c r="E10" s="20"/>
      <c r="F10" s="20">
        <v>65</v>
      </c>
      <c r="G10" s="20"/>
      <c r="H10" s="20"/>
      <c r="I10" s="20"/>
      <c r="J10" s="20">
        <v>65</v>
      </c>
      <c r="K10" s="20"/>
      <c r="L10" s="20"/>
      <c r="M10" s="20"/>
      <c r="N10" s="20">
        <v>65</v>
      </c>
      <c r="O10" s="20"/>
      <c r="P10" s="20"/>
      <c r="Q10" s="20"/>
      <c r="R10" s="20"/>
      <c r="S10" s="20">
        <v>65</v>
      </c>
      <c r="T10" s="20"/>
      <c r="U10" s="20"/>
      <c r="V10" s="20"/>
      <c r="W10" s="20">
        <v>65</v>
      </c>
      <c r="X10" s="20"/>
      <c r="Y10" s="20"/>
      <c r="Z10" s="20"/>
      <c r="AA10" s="20">
        <v>65</v>
      </c>
      <c r="AB10" s="20"/>
      <c r="AC10" s="20"/>
      <c r="AD10" s="20"/>
      <c r="AE10" s="20"/>
      <c r="AF10" s="20">
        <v>65</v>
      </c>
      <c r="AG10" s="20"/>
      <c r="AH10" s="20"/>
      <c r="AI10" s="20"/>
      <c r="AJ10" s="20">
        <v>65</v>
      </c>
      <c r="AK10" s="20"/>
      <c r="AL10" s="20"/>
      <c r="AM10" s="20"/>
      <c r="AN10" s="20">
        <v>65</v>
      </c>
      <c r="AO10" s="20"/>
      <c r="AP10" s="20"/>
      <c r="AQ10" s="20"/>
      <c r="AR10" s="20"/>
      <c r="AS10" s="20">
        <v>65</v>
      </c>
      <c r="AT10" s="20"/>
      <c r="AU10" s="20"/>
      <c r="AV10" s="20"/>
      <c r="AW10" s="20"/>
      <c r="AX10" s="20"/>
      <c r="AY10" s="20"/>
    </row>
    <row r="11" spans="1:51" x14ac:dyDescent="0.2">
      <c r="A11" s="6"/>
      <c r="B11" s="6" t="s">
        <v>59</v>
      </c>
      <c r="C11" s="20"/>
      <c r="D11" s="20"/>
      <c r="E11" s="20"/>
      <c r="F11" s="20">
        <v>20</v>
      </c>
      <c r="G11" s="20"/>
      <c r="H11" s="20"/>
      <c r="I11" s="20"/>
      <c r="J11" s="20">
        <v>20</v>
      </c>
      <c r="K11" s="20"/>
      <c r="L11" s="20"/>
      <c r="M11" s="20"/>
      <c r="N11" s="20">
        <v>20</v>
      </c>
      <c r="O11" s="20"/>
      <c r="P11" s="20"/>
      <c r="Q11" s="20"/>
      <c r="R11" s="20"/>
      <c r="S11" s="20">
        <v>20</v>
      </c>
      <c r="T11" s="20"/>
      <c r="U11" s="20"/>
      <c r="V11" s="20"/>
      <c r="W11" s="20">
        <v>20</v>
      </c>
      <c r="X11" s="20"/>
      <c r="Y11" s="20"/>
      <c r="Z11" s="20"/>
      <c r="AA11" s="20">
        <v>20</v>
      </c>
      <c r="AB11" s="20"/>
      <c r="AC11" s="20"/>
      <c r="AD11" s="20"/>
      <c r="AE11" s="20"/>
      <c r="AF11" s="20">
        <v>20</v>
      </c>
      <c r="AG11" s="20"/>
      <c r="AH11" s="20"/>
      <c r="AI11" s="20"/>
      <c r="AJ11" s="20">
        <v>20</v>
      </c>
      <c r="AK11" s="20"/>
      <c r="AL11" s="20"/>
      <c r="AM11" s="20"/>
      <c r="AN11" s="20">
        <v>20</v>
      </c>
      <c r="AO11" s="20"/>
      <c r="AP11" s="20"/>
      <c r="AQ11" s="20"/>
      <c r="AR11" s="20"/>
      <c r="AS11" s="20">
        <v>20</v>
      </c>
      <c r="AT11" s="20"/>
      <c r="AU11" s="20"/>
      <c r="AV11" s="20"/>
      <c r="AW11" s="20"/>
      <c r="AX11" s="20"/>
      <c r="AY11" s="20"/>
    </row>
    <row r="12" spans="1:51" x14ac:dyDescent="0.2">
      <c r="A12" s="5"/>
      <c r="B12" s="6" t="s">
        <v>8</v>
      </c>
      <c r="C12" s="20">
        <v>50</v>
      </c>
      <c r="D12" s="20">
        <v>50</v>
      </c>
      <c r="E12" s="20">
        <v>50</v>
      </c>
      <c r="F12" s="20">
        <v>50</v>
      </c>
      <c r="G12" s="20">
        <v>50</v>
      </c>
      <c r="H12" s="20">
        <v>50</v>
      </c>
      <c r="I12" s="20">
        <v>50</v>
      </c>
      <c r="J12" s="20">
        <v>50</v>
      </c>
      <c r="K12" s="20">
        <v>50</v>
      </c>
      <c r="L12" s="20">
        <v>50</v>
      </c>
      <c r="M12" s="20">
        <v>50</v>
      </c>
      <c r="N12" s="20">
        <v>50</v>
      </c>
      <c r="O12" s="20">
        <v>50</v>
      </c>
      <c r="P12" s="20">
        <v>50</v>
      </c>
      <c r="Q12" s="20">
        <v>50</v>
      </c>
      <c r="R12" s="20">
        <v>50</v>
      </c>
      <c r="S12" s="20">
        <v>50</v>
      </c>
      <c r="T12" s="20">
        <v>50</v>
      </c>
      <c r="U12" s="20">
        <v>50</v>
      </c>
      <c r="V12" s="20">
        <v>50</v>
      </c>
      <c r="W12" s="20">
        <v>50</v>
      </c>
      <c r="X12" s="20">
        <v>50</v>
      </c>
      <c r="Y12" s="20">
        <v>50</v>
      </c>
      <c r="Z12" s="20">
        <v>50</v>
      </c>
      <c r="AA12" s="20">
        <v>50</v>
      </c>
      <c r="AB12" s="20">
        <v>50</v>
      </c>
      <c r="AC12" s="20">
        <v>50</v>
      </c>
      <c r="AD12" s="20">
        <v>50</v>
      </c>
      <c r="AE12" s="20">
        <v>50</v>
      </c>
      <c r="AF12" s="20">
        <v>50</v>
      </c>
      <c r="AG12" s="20">
        <v>50</v>
      </c>
      <c r="AH12" s="20">
        <v>50</v>
      </c>
      <c r="AI12" s="20">
        <v>50</v>
      </c>
      <c r="AJ12" s="20">
        <v>50</v>
      </c>
      <c r="AK12" s="20">
        <v>50</v>
      </c>
      <c r="AL12" s="20">
        <v>50</v>
      </c>
      <c r="AM12" s="20">
        <v>50</v>
      </c>
      <c r="AN12" s="20">
        <v>50</v>
      </c>
      <c r="AO12" s="20">
        <v>50</v>
      </c>
      <c r="AP12" s="20">
        <v>50</v>
      </c>
      <c r="AQ12" s="20">
        <v>50</v>
      </c>
      <c r="AR12" s="20">
        <v>50</v>
      </c>
      <c r="AS12" s="20">
        <v>50</v>
      </c>
      <c r="AT12" s="20">
        <v>50</v>
      </c>
      <c r="AU12" s="20">
        <v>50</v>
      </c>
      <c r="AV12" s="20">
        <v>50</v>
      </c>
      <c r="AW12" s="20">
        <v>50</v>
      </c>
      <c r="AX12" s="20">
        <v>50</v>
      </c>
      <c r="AY12" s="20">
        <v>50</v>
      </c>
    </row>
    <row r="13" spans="1:51" x14ac:dyDescent="0.2">
      <c r="A13" s="5"/>
      <c r="B13" s="6" t="s">
        <v>48</v>
      </c>
      <c r="C13" s="20"/>
      <c r="D13" s="20">
        <v>500</v>
      </c>
      <c r="E13" s="20"/>
      <c r="F13" s="20">
        <v>200</v>
      </c>
      <c r="G13" s="20"/>
      <c r="H13" s="20"/>
      <c r="I13" s="20"/>
      <c r="J13" s="20"/>
      <c r="K13" s="20"/>
      <c r="L13" s="20"/>
      <c r="M13" s="20"/>
      <c r="N13" s="20"/>
      <c r="O13" s="20"/>
      <c r="P13" s="20"/>
      <c r="Q13" s="20"/>
      <c r="R13" s="20"/>
      <c r="S13" s="20">
        <v>150</v>
      </c>
      <c r="T13" s="20"/>
      <c r="U13" s="20"/>
      <c r="V13" s="20">
        <v>100</v>
      </c>
      <c r="W13" s="20">
        <v>200</v>
      </c>
      <c r="X13" s="20"/>
      <c r="Y13" s="20"/>
      <c r="Z13" s="20"/>
      <c r="AA13" s="20"/>
      <c r="AB13" s="20"/>
      <c r="AC13" s="20">
        <v>150</v>
      </c>
      <c r="AD13" s="20"/>
      <c r="AE13" s="20"/>
      <c r="AF13" s="20"/>
      <c r="AG13" s="20"/>
      <c r="AH13" s="20"/>
      <c r="AI13" s="20"/>
      <c r="AJ13" s="20"/>
      <c r="AK13" s="20"/>
      <c r="AL13" s="20"/>
      <c r="AM13" s="20"/>
      <c r="AN13" s="20"/>
      <c r="AO13" s="20"/>
      <c r="AP13" s="20"/>
      <c r="AQ13" s="20"/>
      <c r="AR13" s="20"/>
      <c r="AS13" s="20"/>
      <c r="AT13" s="20"/>
      <c r="AU13" s="20"/>
      <c r="AV13" s="20"/>
      <c r="AW13" s="20"/>
      <c r="AX13" s="20"/>
      <c r="AY13" s="20"/>
    </row>
    <row r="14" spans="1:51" x14ac:dyDescent="0.2">
      <c r="A14" s="5"/>
      <c r="B14" s="6" t="s">
        <v>82</v>
      </c>
      <c r="C14" s="5"/>
      <c r="D14" s="5"/>
      <c r="E14" s="5"/>
      <c r="F14" s="5"/>
      <c r="G14" s="5"/>
      <c r="H14" s="5"/>
      <c r="I14" s="5"/>
      <c r="J14" s="5"/>
      <c r="K14" s="5"/>
      <c r="L14" s="5"/>
      <c r="M14" s="5"/>
      <c r="N14" s="5"/>
      <c r="O14" s="5"/>
      <c r="P14" s="5"/>
      <c r="Q14" s="5"/>
      <c r="R14" s="5"/>
      <c r="S14" s="5">
        <v>400</v>
      </c>
      <c r="T14" s="5"/>
      <c r="U14" s="5"/>
      <c r="V14" s="5"/>
      <c r="W14" s="5">
        <v>400</v>
      </c>
      <c r="X14" s="5"/>
      <c r="Y14" s="5"/>
      <c r="Z14" s="5"/>
      <c r="AA14" s="5">
        <v>400</v>
      </c>
      <c r="AB14" s="5"/>
      <c r="AC14" s="5"/>
      <c r="AD14" s="5"/>
      <c r="AE14" s="5"/>
      <c r="AF14" s="5">
        <v>400</v>
      </c>
      <c r="AG14" s="5"/>
      <c r="AH14" s="5"/>
      <c r="AI14" s="5"/>
      <c r="AJ14" s="5">
        <v>400</v>
      </c>
      <c r="AK14" s="5"/>
      <c r="AL14" s="5"/>
      <c r="AM14" s="5"/>
      <c r="AN14" s="5"/>
      <c r="AO14" s="5"/>
      <c r="AP14" s="5"/>
      <c r="AQ14" s="5"/>
      <c r="AR14" s="5"/>
      <c r="AS14" s="5"/>
      <c r="AT14" s="5"/>
      <c r="AU14" s="5"/>
      <c r="AV14" s="5"/>
      <c r="AW14" s="5"/>
      <c r="AX14" s="5"/>
      <c r="AY14" s="5"/>
    </row>
    <row r="15" spans="1:51" ht="16" thickBot="1" x14ac:dyDescent="0.25">
      <c r="A15" s="13"/>
      <c r="B15" s="14" t="s">
        <v>13</v>
      </c>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row>
    <row r="16" spans="1:51" x14ac:dyDescent="0.2">
      <c r="A16" s="15"/>
      <c r="B16" s="12" t="s">
        <v>6</v>
      </c>
      <c r="C16" s="16">
        <f t="shared" ref="C16:R16" si="7">SUM(C8:C15)</f>
        <v>70</v>
      </c>
      <c r="D16" s="16">
        <f t="shared" si="7"/>
        <v>570</v>
      </c>
      <c r="E16" s="16">
        <f t="shared" si="7"/>
        <v>70</v>
      </c>
      <c r="F16" s="16">
        <f t="shared" si="7"/>
        <v>755</v>
      </c>
      <c r="G16" s="16">
        <f t="shared" si="7"/>
        <v>70</v>
      </c>
      <c r="H16" s="16">
        <f t="shared" si="7"/>
        <v>70</v>
      </c>
      <c r="I16" s="16">
        <f t="shared" si="7"/>
        <v>70</v>
      </c>
      <c r="J16" s="16">
        <f t="shared" si="7"/>
        <v>555</v>
      </c>
      <c r="K16" s="16">
        <f t="shared" si="7"/>
        <v>70</v>
      </c>
      <c r="L16" s="16">
        <f t="shared" si="7"/>
        <v>70</v>
      </c>
      <c r="M16" s="16">
        <f t="shared" si="7"/>
        <v>70</v>
      </c>
      <c r="N16" s="16">
        <f t="shared" si="7"/>
        <v>555</v>
      </c>
      <c r="O16" s="16">
        <f t="shared" si="7"/>
        <v>70</v>
      </c>
      <c r="P16" s="16">
        <f t="shared" si="7"/>
        <v>70</v>
      </c>
      <c r="Q16" s="16">
        <f t="shared" si="7"/>
        <v>70</v>
      </c>
      <c r="R16" s="16">
        <f t="shared" si="7"/>
        <v>70</v>
      </c>
      <c r="S16" s="16">
        <f t="shared" ref="S16:AN16" si="8">SUM(S8:S15)</f>
        <v>1105</v>
      </c>
      <c r="T16" s="16">
        <f t="shared" si="8"/>
        <v>70</v>
      </c>
      <c r="U16" s="16">
        <f t="shared" si="8"/>
        <v>70</v>
      </c>
      <c r="V16" s="16">
        <f t="shared" si="8"/>
        <v>170</v>
      </c>
      <c r="W16" s="16">
        <f t="shared" si="8"/>
        <v>1155</v>
      </c>
      <c r="X16" s="16">
        <f t="shared" si="8"/>
        <v>70</v>
      </c>
      <c r="Y16" s="16">
        <f t="shared" si="8"/>
        <v>70</v>
      </c>
      <c r="Z16" s="16">
        <f t="shared" si="8"/>
        <v>70</v>
      </c>
      <c r="AA16" s="16">
        <f t="shared" si="8"/>
        <v>955</v>
      </c>
      <c r="AB16" s="16">
        <f t="shared" si="8"/>
        <v>70</v>
      </c>
      <c r="AC16" s="16">
        <f t="shared" si="8"/>
        <v>220</v>
      </c>
      <c r="AD16" s="16">
        <f t="shared" si="8"/>
        <v>70</v>
      </c>
      <c r="AE16" s="16">
        <f t="shared" si="8"/>
        <v>70</v>
      </c>
      <c r="AF16" s="16">
        <f t="shared" si="8"/>
        <v>955</v>
      </c>
      <c r="AG16" s="16">
        <f t="shared" si="8"/>
        <v>70</v>
      </c>
      <c r="AH16" s="16">
        <f t="shared" si="8"/>
        <v>70</v>
      </c>
      <c r="AI16" s="16">
        <f t="shared" si="8"/>
        <v>70</v>
      </c>
      <c r="AJ16" s="16">
        <f t="shared" si="8"/>
        <v>955</v>
      </c>
      <c r="AK16" s="16">
        <f t="shared" si="8"/>
        <v>70</v>
      </c>
      <c r="AL16" s="16">
        <f t="shared" si="8"/>
        <v>70</v>
      </c>
      <c r="AM16" s="16">
        <f t="shared" si="8"/>
        <v>70</v>
      </c>
      <c r="AN16" s="16">
        <f t="shared" si="8"/>
        <v>555</v>
      </c>
      <c r="AO16" s="16">
        <f t="shared" ref="AO16:AY16" si="9">SUM(AO8:AO15)</f>
        <v>70</v>
      </c>
      <c r="AP16" s="16">
        <f t="shared" si="9"/>
        <v>70</v>
      </c>
      <c r="AQ16" s="16">
        <f t="shared" si="9"/>
        <v>70</v>
      </c>
      <c r="AR16" s="16">
        <f t="shared" si="9"/>
        <v>70</v>
      </c>
      <c r="AS16" s="16">
        <f t="shared" si="9"/>
        <v>155</v>
      </c>
      <c r="AT16" s="16">
        <f t="shared" si="9"/>
        <v>70</v>
      </c>
      <c r="AU16" s="16">
        <f t="shared" si="9"/>
        <v>70</v>
      </c>
      <c r="AV16" s="16">
        <f t="shared" si="9"/>
        <v>70</v>
      </c>
      <c r="AW16" s="16">
        <f t="shared" si="9"/>
        <v>70</v>
      </c>
      <c r="AX16" s="16">
        <f t="shared" si="9"/>
        <v>70</v>
      </c>
      <c r="AY16" s="16">
        <f t="shared" si="9"/>
        <v>70</v>
      </c>
    </row>
    <row r="17" spans="1:51" ht="16" thickBot="1" x14ac:dyDescent="0.25">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row>
    <row r="18" spans="1:51" x14ac:dyDescent="0.2">
      <c r="A18" s="15"/>
      <c r="B18" s="12" t="s">
        <v>12</v>
      </c>
      <c r="C18" s="17">
        <v>6115</v>
      </c>
      <c r="D18" s="17">
        <f t="shared" ref="D18:AO18" si="10">C18+D6-D16</f>
        <v>5545</v>
      </c>
      <c r="E18" s="17">
        <f t="shared" si="10"/>
        <v>5475</v>
      </c>
      <c r="F18" s="17">
        <f t="shared" si="10"/>
        <v>6420</v>
      </c>
      <c r="G18" s="17">
        <f t="shared" si="10"/>
        <v>6350</v>
      </c>
      <c r="H18" s="17">
        <f t="shared" si="10"/>
        <v>6280</v>
      </c>
      <c r="I18" s="17">
        <f t="shared" si="10"/>
        <v>6210</v>
      </c>
      <c r="J18" s="17">
        <f t="shared" si="10"/>
        <v>7355</v>
      </c>
      <c r="K18" s="17">
        <f t="shared" si="10"/>
        <v>7285</v>
      </c>
      <c r="L18" s="17">
        <f t="shared" si="10"/>
        <v>7215</v>
      </c>
      <c r="M18" s="17">
        <f t="shared" si="10"/>
        <v>7145</v>
      </c>
      <c r="N18" s="17">
        <f t="shared" si="10"/>
        <v>8290</v>
      </c>
      <c r="O18" s="17">
        <f t="shared" si="10"/>
        <v>8220</v>
      </c>
      <c r="P18" s="17">
        <f t="shared" si="10"/>
        <v>8150</v>
      </c>
      <c r="Q18" s="17">
        <f t="shared" si="10"/>
        <v>8080</v>
      </c>
      <c r="R18" s="17">
        <v>5444</v>
      </c>
      <c r="S18" s="17">
        <f t="shared" si="10"/>
        <v>4339</v>
      </c>
      <c r="T18" s="17">
        <f t="shared" si="10"/>
        <v>4269</v>
      </c>
      <c r="U18" s="17">
        <f t="shared" si="10"/>
        <v>4199</v>
      </c>
      <c r="V18" s="17">
        <f t="shared" si="10"/>
        <v>4029</v>
      </c>
      <c r="W18" s="17">
        <f t="shared" si="10"/>
        <v>4774</v>
      </c>
      <c r="X18" s="17">
        <f t="shared" si="10"/>
        <v>4704</v>
      </c>
      <c r="Y18" s="17">
        <f t="shared" si="10"/>
        <v>4634</v>
      </c>
      <c r="Z18" s="17">
        <f t="shared" si="10"/>
        <v>6464</v>
      </c>
      <c r="AA18" s="17">
        <f t="shared" si="10"/>
        <v>5509</v>
      </c>
      <c r="AB18" s="17">
        <f t="shared" si="10"/>
        <v>5439</v>
      </c>
      <c r="AC18" s="17">
        <f t="shared" si="10"/>
        <v>5219</v>
      </c>
      <c r="AD18" s="17">
        <f t="shared" si="10"/>
        <v>5149</v>
      </c>
      <c r="AE18" s="17">
        <f t="shared" si="10"/>
        <v>6979</v>
      </c>
      <c r="AF18" s="17">
        <f t="shared" si="10"/>
        <v>6024</v>
      </c>
      <c r="AG18" s="17">
        <f t="shared" si="10"/>
        <v>5954</v>
      </c>
      <c r="AH18" s="17">
        <f t="shared" si="10"/>
        <v>5884</v>
      </c>
      <c r="AI18" s="17">
        <f t="shared" si="10"/>
        <v>5814</v>
      </c>
      <c r="AJ18" s="17">
        <f t="shared" si="10"/>
        <v>6759</v>
      </c>
      <c r="AK18" s="17">
        <f t="shared" si="10"/>
        <v>6689</v>
      </c>
      <c r="AL18" s="17">
        <f t="shared" si="10"/>
        <v>6619</v>
      </c>
      <c r="AM18" s="17">
        <f t="shared" si="10"/>
        <v>8449</v>
      </c>
      <c r="AN18" s="17">
        <f t="shared" si="10"/>
        <v>7894</v>
      </c>
      <c r="AO18" s="17">
        <f t="shared" si="10"/>
        <v>7824</v>
      </c>
      <c r="AP18" s="17">
        <f t="shared" ref="AP18:AY18" si="11">AO18+AP6-AP16</f>
        <v>7754</v>
      </c>
      <c r="AQ18" s="17">
        <f t="shared" si="11"/>
        <v>7684</v>
      </c>
      <c r="AR18" s="17">
        <f t="shared" si="11"/>
        <v>7614</v>
      </c>
      <c r="AS18" s="17">
        <f t="shared" si="11"/>
        <v>7459</v>
      </c>
      <c r="AT18" s="17">
        <f t="shared" si="11"/>
        <v>7389</v>
      </c>
      <c r="AU18" s="17">
        <f t="shared" si="11"/>
        <v>7319</v>
      </c>
      <c r="AV18" s="17">
        <f t="shared" si="11"/>
        <v>7249</v>
      </c>
      <c r="AW18" s="17">
        <f t="shared" si="11"/>
        <v>7179</v>
      </c>
      <c r="AX18" s="17">
        <f t="shared" si="11"/>
        <v>7109</v>
      </c>
      <c r="AY18" s="17">
        <f t="shared" si="11"/>
        <v>7039</v>
      </c>
    </row>
    <row r="21" spans="1:51" x14ac:dyDescent="0.2">
      <c r="A21" s="7" t="s">
        <v>9</v>
      </c>
      <c r="B21" s="8"/>
      <c r="H21" s="53"/>
    </row>
    <row r="22" spans="1:51" x14ac:dyDescent="0.2">
      <c r="A22" s="8" t="s">
        <v>46</v>
      </c>
      <c r="B22" s="8">
        <v>-300</v>
      </c>
    </row>
    <row r="23" spans="1:51" x14ac:dyDescent="0.2">
      <c r="A23" s="8"/>
      <c r="B23" s="8"/>
    </row>
    <row r="24" spans="1:51" x14ac:dyDescent="0.2">
      <c r="A24" s="8"/>
      <c r="B24" s="8"/>
    </row>
    <row r="25" spans="1:51" x14ac:dyDescent="0.2">
      <c r="A25" s="8"/>
      <c r="B25" s="8"/>
    </row>
    <row r="26" spans="1:51" x14ac:dyDescent="0.2">
      <c r="A26" s="8"/>
      <c r="B26" s="8"/>
    </row>
    <row r="27" spans="1:51" x14ac:dyDescent="0.2">
      <c r="A27" s="8"/>
      <c r="B27" s="8"/>
    </row>
    <row r="28" spans="1:51" x14ac:dyDescent="0.2">
      <c r="A28" s="8"/>
      <c r="B28" s="8"/>
    </row>
    <row r="29" spans="1:51" x14ac:dyDescent="0.2">
      <c r="A29" s="9" t="s">
        <v>7</v>
      </c>
      <c r="B29" s="7">
        <f>SUM(B22:B28)</f>
        <v>-300</v>
      </c>
    </row>
    <row r="32" spans="1:51" x14ac:dyDescent="0.2">
      <c r="B32" s="53"/>
    </row>
    <row r="38" spans="1:2" x14ac:dyDescent="0.2">
      <c r="B38" s="54"/>
    </row>
    <row r="39" spans="1:2" x14ac:dyDescent="0.2">
      <c r="B39" s="54"/>
    </row>
    <row r="40" spans="1:2" x14ac:dyDescent="0.2">
      <c r="B40" s="54"/>
    </row>
    <row r="41" spans="1:2" x14ac:dyDescent="0.2">
      <c r="B41" s="54"/>
    </row>
    <row r="42" spans="1:2" x14ac:dyDescent="0.2">
      <c r="B42" s="54"/>
    </row>
    <row r="43" spans="1:2" x14ac:dyDescent="0.2">
      <c r="B43" s="54"/>
    </row>
    <row r="44" spans="1:2" x14ac:dyDescent="0.2">
      <c r="A44" s="55"/>
      <c r="B44" s="54"/>
    </row>
    <row r="46" spans="1:2" x14ac:dyDescent="0.2">
      <c r="B46" s="54"/>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89396-802B-054D-B0FD-6C12891B7A95}">
  <sheetPr>
    <tabColor theme="5" tint="0.59999389629810485"/>
  </sheetPr>
  <dimension ref="A1:B17"/>
  <sheetViews>
    <sheetView workbookViewId="0">
      <selection activeCell="C6" sqref="C6"/>
    </sheetView>
  </sheetViews>
  <sheetFormatPr baseColWidth="10" defaultRowHeight="15" x14ac:dyDescent="0.2"/>
  <cols>
    <col min="1" max="1" width="20" customWidth="1"/>
  </cols>
  <sheetData>
    <row r="1" spans="1:2" ht="19" x14ac:dyDescent="0.25">
      <c r="A1" s="49" t="s">
        <v>37</v>
      </c>
    </row>
    <row r="2" spans="1:2" ht="32" x14ac:dyDescent="0.2">
      <c r="A2" s="48" t="s">
        <v>39</v>
      </c>
    </row>
    <row r="3" spans="1:2" x14ac:dyDescent="0.2">
      <c r="A3" t="s">
        <v>38</v>
      </c>
      <c r="B3">
        <v>2724065401</v>
      </c>
    </row>
    <row r="4" spans="1:2" x14ac:dyDescent="0.2">
      <c r="A4" t="s">
        <v>40</v>
      </c>
      <c r="B4" s="50">
        <v>45306</v>
      </c>
    </row>
    <row r="5" spans="1:2" x14ac:dyDescent="0.2">
      <c r="A5" t="s">
        <v>42</v>
      </c>
      <c r="B5" s="51">
        <v>12040.62</v>
      </c>
    </row>
    <row r="6" spans="1:2" x14ac:dyDescent="0.2">
      <c r="A6" t="s">
        <v>41</v>
      </c>
      <c r="B6" s="51">
        <v>13659.96</v>
      </c>
    </row>
    <row r="7" spans="1:2" x14ac:dyDescent="0.2">
      <c r="A7" t="s">
        <v>43</v>
      </c>
      <c r="B7" s="52">
        <f>((B6-B5)/B5)</f>
        <v>0.13448975218884063</v>
      </c>
    </row>
    <row r="10" spans="1:2" ht="19" x14ac:dyDescent="0.25">
      <c r="A10" s="49" t="s">
        <v>44</v>
      </c>
    </row>
    <row r="11" spans="1:2" ht="16" x14ac:dyDescent="0.2">
      <c r="A11" s="48" t="s">
        <v>45</v>
      </c>
    </row>
    <row r="12" spans="1:2" x14ac:dyDescent="0.2">
      <c r="A12" t="s">
        <v>40</v>
      </c>
      <c r="B12" s="50">
        <v>45547</v>
      </c>
    </row>
    <row r="13" spans="1:2" x14ac:dyDescent="0.2">
      <c r="A13" t="s">
        <v>66</v>
      </c>
      <c r="B13" s="19">
        <v>108</v>
      </c>
    </row>
    <row r="14" spans="1:2" x14ac:dyDescent="0.2">
      <c r="A14" t="s">
        <v>16</v>
      </c>
      <c r="B14" s="19">
        <v>173</v>
      </c>
    </row>
    <row r="15" spans="1:2" x14ac:dyDescent="0.2">
      <c r="A15" t="s">
        <v>67</v>
      </c>
      <c r="B15" s="19">
        <f>SUM(B13:B14)</f>
        <v>281</v>
      </c>
    </row>
    <row r="16" spans="1:2" x14ac:dyDescent="0.2">
      <c r="A16" t="s">
        <v>41</v>
      </c>
      <c r="B16" s="19">
        <v>2056</v>
      </c>
    </row>
    <row r="17" spans="1:2" x14ac:dyDescent="0.2">
      <c r="A17" t="s">
        <v>43</v>
      </c>
      <c r="B17" s="52">
        <f>((B16-B15)/B15)</f>
        <v>6.3167259786476873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F57C2-F96B-B24C-A12C-84534750B4D1}">
  <sheetPr>
    <tabColor theme="7" tint="0.59999389629810485"/>
  </sheetPr>
  <dimension ref="A2:Q47"/>
  <sheetViews>
    <sheetView topLeftCell="A15" zoomScale="81" workbookViewId="0">
      <selection activeCell="D44" sqref="D44"/>
    </sheetView>
  </sheetViews>
  <sheetFormatPr baseColWidth="10" defaultRowHeight="17" x14ac:dyDescent="0.2"/>
  <cols>
    <col min="1" max="1" width="23.1640625" style="21" bestFit="1" customWidth="1"/>
    <col min="2" max="6" width="12.1640625" style="21" customWidth="1"/>
    <col min="7" max="7" width="18.5" style="21" bestFit="1" customWidth="1"/>
    <col min="8" max="17" width="12.1640625" style="21" customWidth="1"/>
    <col min="18" max="16384" width="10.83203125" style="21"/>
  </cols>
  <sheetData>
    <row r="2" spans="1:17" x14ac:dyDescent="0.2">
      <c r="A2" s="41" t="s">
        <v>22</v>
      </c>
    </row>
    <row r="3" spans="1:17" x14ac:dyDescent="0.2">
      <c r="A3" s="22"/>
      <c r="B3" s="23">
        <v>-0.5</v>
      </c>
      <c r="C3" s="23">
        <v>-0.4</v>
      </c>
      <c r="D3" s="23">
        <v>-0.3</v>
      </c>
      <c r="E3" s="23">
        <v>-0.2</v>
      </c>
      <c r="F3" s="23">
        <v>-0.1</v>
      </c>
      <c r="G3" s="24" t="s">
        <v>21</v>
      </c>
      <c r="H3" s="25">
        <v>0.1</v>
      </c>
      <c r="I3" s="25" t="s">
        <v>18</v>
      </c>
      <c r="J3" s="25" t="s">
        <v>19</v>
      </c>
      <c r="K3" s="25">
        <v>0.4</v>
      </c>
      <c r="L3" s="25">
        <v>0.5</v>
      </c>
      <c r="M3" s="25">
        <v>0.6</v>
      </c>
      <c r="N3" s="25">
        <v>0.7</v>
      </c>
      <c r="O3" s="25">
        <v>0.8</v>
      </c>
      <c r="P3" s="25">
        <v>0.9</v>
      </c>
      <c r="Q3" s="25">
        <v>1</v>
      </c>
    </row>
    <row r="4" spans="1:17" x14ac:dyDescent="0.2">
      <c r="A4" s="22" t="s">
        <v>17</v>
      </c>
      <c r="B4" s="37">
        <f t="shared" ref="B4:E5" si="0">$G4*(1+B$3)</f>
        <v>21000</v>
      </c>
      <c r="C4" s="37">
        <f t="shared" si="0"/>
        <v>25200</v>
      </c>
      <c r="D4" s="37">
        <f t="shared" si="0"/>
        <v>29399.999999999996</v>
      </c>
      <c r="E4" s="37">
        <f t="shared" si="0"/>
        <v>33600</v>
      </c>
      <c r="F4" s="37">
        <f>$G4*(1+F$3)</f>
        <v>37800</v>
      </c>
      <c r="G4" s="38">
        <v>42000</v>
      </c>
      <c r="H4" s="39">
        <f>$G4*(1+H$3)</f>
        <v>46200.000000000007</v>
      </c>
      <c r="I4" s="39">
        <f t="shared" ref="I4:Q5" si="1">$G4*(1+I$3)</f>
        <v>50400</v>
      </c>
      <c r="J4" s="39">
        <f t="shared" si="1"/>
        <v>54600</v>
      </c>
      <c r="K4" s="39">
        <f t="shared" si="1"/>
        <v>58799.999999999993</v>
      </c>
      <c r="L4" s="39">
        <f t="shared" si="1"/>
        <v>63000</v>
      </c>
      <c r="M4" s="39">
        <f t="shared" si="1"/>
        <v>67200</v>
      </c>
      <c r="N4" s="39">
        <f t="shared" si="1"/>
        <v>71400</v>
      </c>
      <c r="O4" s="39">
        <f t="shared" si="1"/>
        <v>75600</v>
      </c>
      <c r="P4" s="39">
        <f t="shared" si="1"/>
        <v>79800</v>
      </c>
      <c r="Q4" s="39">
        <f t="shared" si="1"/>
        <v>84000</v>
      </c>
    </row>
    <row r="5" spans="1:17" x14ac:dyDescent="0.2">
      <c r="A5" s="22" t="s">
        <v>20</v>
      </c>
      <c r="B5" s="37">
        <f t="shared" si="0"/>
        <v>1100</v>
      </c>
      <c r="C5" s="37">
        <f t="shared" si="0"/>
        <v>1320</v>
      </c>
      <c r="D5" s="37">
        <f t="shared" si="0"/>
        <v>1540</v>
      </c>
      <c r="E5" s="37">
        <f t="shared" si="0"/>
        <v>1760</v>
      </c>
      <c r="F5" s="37">
        <f>$G5*(1+F$3)</f>
        <v>1980</v>
      </c>
      <c r="G5" s="24">
        <v>2200</v>
      </c>
      <c r="H5" s="39">
        <f>$G5*(1+H$3)</f>
        <v>2420</v>
      </c>
      <c r="I5" s="39">
        <f t="shared" si="1"/>
        <v>2640</v>
      </c>
      <c r="J5" s="39">
        <f t="shared" si="1"/>
        <v>2860</v>
      </c>
      <c r="K5" s="39">
        <f t="shared" si="1"/>
        <v>3080</v>
      </c>
      <c r="L5" s="39">
        <f t="shared" si="1"/>
        <v>3300</v>
      </c>
      <c r="M5" s="39">
        <f t="shared" si="1"/>
        <v>3520</v>
      </c>
      <c r="N5" s="39">
        <f t="shared" si="1"/>
        <v>3740</v>
      </c>
      <c r="O5" s="39">
        <f t="shared" si="1"/>
        <v>3960</v>
      </c>
      <c r="P5" s="39">
        <f t="shared" si="1"/>
        <v>4180</v>
      </c>
      <c r="Q5" s="39">
        <f t="shared" si="1"/>
        <v>4400</v>
      </c>
    </row>
    <row r="8" spans="1:17" x14ac:dyDescent="0.2">
      <c r="A8" s="41" t="s">
        <v>23</v>
      </c>
    </row>
    <row r="9" spans="1:17" x14ac:dyDescent="0.2">
      <c r="A9" s="42"/>
      <c r="B9" s="42" t="s">
        <v>24</v>
      </c>
      <c r="C9" s="42" t="s">
        <v>25</v>
      </c>
      <c r="D9" s="42" t="s">
        <v>26</v>
      </c>
    </row>
    <row r="10" spans="1:17" x14ac:dyDescent="0.2">
      <c r="A10" s="42" t="s">
        <v>17</v>
      </c>
      <c r="B10" s="42">
        <v>4.3831170000000003E-2</v>
      </c>
      <c r="C10" s="43">
        <f>B10*G4</f>
        <v>1840.9091400000002</v>
      </c>
      <c r="D10" s="42">
        <v>44000</v>
      </c>
    </row>
    <row r="11" spans="1:17" x14ac:dyDescent="0.2">
      <c r="A11" s="42" t="s">
        <v>20</v>
      </c>
      <c r="B11" s="42">
        <v>0.4</v>
      </c>
      <c r="C11" s="42">
        <v>880</v>
      </c>
      <c r="D11" s="42">
        <v>2080</v>
      </c>
    </row>
    <row r="13" spans="1:17" x14ac:dyDescent="0.2">
      <c r="A13" s="21" t="s">
        <v>27</v>
      </c>
    </row>
    <row r="15" spans="1:17" x14ac:dyDescent="0.2">
      <c r="A15" s="41" t="s">
        <v>17</v>
      </c>
    </row>
    <row r="16" spans="1:17" ht="18" thickBot="1" x14ac:dyDescent="0.25">
      <c r="A16" s="33"/>
      <c r="B16" s="34">
        <v>-0.5</v>
      </c>
      <c r="C16" s="34">
        <v>-0.4</v>
      </c>
      <c r="D16" s="34">
        <v>-0.3</v>
      </c>
      <c r="E16" s="34">
        <v>-0.2</v>
      </c>
      <c r="F16" s="34">
        <v>-0.1</v>
      </c>
      <c r="G16" s="35" t="s">
        <v>29</v>
      </c>
      <c r="H16" s="36">
        <v>0.1</v>
      </c>
      <c r="I16" s="36" t="s">
        <v>18</v>
      </c>
      <c r="J16" s="36" t="s">
        <v>19</v>
      </c>
      <c r="K16" s="36">
        <v>0.4</v>
      </c>
      <c r="L16" s="36">
        <v>0.5</v>
      </c>
      <c r="M16" s="36">
        <v>0.6</v>
      </c>
      <c r="N16" s="36">
        <v>0.7</v>
      </c>
      <c r="O16" s="36">
        <v>0.8</v>
      </c>
      <c r="P16" s="36">
        <v>0.9</v>
      </c>
      <c r="Q16" s="36">
        <v>1</v>
      </c>
    </row>
    <row r="17" spans="1:17" x14ac:dyDescent="0.2">
      <c r="A17" s="31" t="s">
        <v>28</v>
      </c>
      <c r="B17" s="32">
        <f>B4</f>
        <v>21000</v>
      </c>
      <c r="C17" s="32">
        <f t="shared" ref="C17:Q17" si="2">C4</f>
        <v>25200</v>
      </c>
      <c r="D17" s="32">
        <f t="shared" si="2"/>
        <v>29399.999999999996</v>
      </c>
      <c r="E17" s="32">
        <f t="shared" si="2"/>
        <v>33600</v>
      </c>
      <c r="F17" s="32">
        <f t="shared" si="2"/>
        <v>37800</v>
      </c>
      <c r="G17" s="38">
        <f t="shared" si="2"/>
        <v>42000</v>
      </c>
      <c r="H17" s="39">
        <f t="shared" si="2"/>
        <v>46200.000000000007</v>
      </c>
      <c r="I17" s="39">
        <f t="shared" si="2"/>
        <v>50400</v>
      </c>
      <c r="J17" s="39">
        <f t="shared" si="2"/>
        <v>54600</v>
      </c>
      <c r="K17" s="39">
        <f t="shared" si="2"/>
        <v>58799.999999999993</v>
      </c>
      <c r="L17" s="39">
        <f t="shared" si="2"/>
        <v>63000</v>
      </c>
      <c r="M17" s="39">
        <f t="shared" si="2"/>
        <v>67200</v>
      </c>
      <c r="N17" s="39">
        <f t="shared" si="2"/>
        <v>71400</v>
      </c>
      <c r="O17" s="39">
        <f t="shared" si="2"/>
        <v>75600</v>
      </c>
      <c r="P17" s="39">
        <f t="shared" si="2"/>
        <v>79800</v>
      </c>
      <c r="Q17" s="39">
        <f t="shared" si="2"/>
        <v>84000</v>
      </c>
    </row>
    <row r="18" spans="1:17" x14ac:dyDescent="0.2">
      <c r="A18" s="22" t="s">
        <v>23</v>
      </c>
      <c r="B18" s="128" t="s">
        <v>30</v>
      </c>
      <c r="C18" s="129"/>
      <c r="D18" s="129"/>
      <c r="E18" s="129"/>
      <c r="F18" s="130"/>
      <c r="G18" s="26">
        <f>C10</f>
        <v>1840.9091400000002</v>
      </c>
      <c r="H18" s="27">
        <f>$G18*1.1</f>
        <v>2025.0000540000003</v>
      </c>
      <c r="I18" s="27">
        <f>(H18-H19)*1.1</f>
        <v>1897.5000594000005</v>
      </c>
      <c r="J18" s="27">
        <f>(I18-I19)*1.1</f>
        <v>1647.2500653400007</v>
      </c>
      <c r="K18" s="27">
        <f>(J18-J19)*1.1</f>
        <v>1371.9750718740008</v>
      </c>
      <c r="L18" s="27">
        <f>(K18-K19)*1.1</f>
        <v>1399.1725790614009</v>
      </c>
      <c r="M18" s="27">
        <f>(L18-L19)*1.1</f>
        <v>1429.0898369675413</v>
      </c>
      <c r="N18" s="27">
        <f>(M18-N19)*1.1</f>
        <v>1351.9988206642954</v>
      </c>
      <c r="O18" s="27">
        <f>(N18-O19)*1.1</f>
        <v>1267.198702730725</v>
      </c>
      <c r="P18" s="27">
        <f>(O18-P19)*1.1</f>
        <v>1173.9185730037975</v>
      </c>
      <c r="Q18" s="27">
        <f>(P18-Q19)*1.1</f>
        <v>1071.3104303041773</v>
      </c>
    </row>
    <row r="19" spans="1:17" x14ac:dyDescent="0.2">
      <c r="A19" s="22" t="s">
        <v>31</v>
      </c>
      <c r="B19" s="131"/>
      <c r="C19" s="132"/>
      <c r="D19" s="132"/>
      <c r="E19" s="132"/>
      <c r="F19" s="133"/>
      <c r="G19" s="28"/>
      <c r="H19" s="29">
        <v>300</v>
      </c>
      <c r="I19" s="29">
        <v>400</v>
      </c>
      <c r="J19" s="29">
        <v>400</v>
      </c>
      <c r="K19" s="29">
        <v>100</v>
      </c>
      <c r="L19" s="29">
        <v>100</v>
      </c>
      <c r="M19" s="29">
        <v>200</v>
      </c>
      <c r="N19" s="29">
        <v>200</v>
      </c>
      <c r="O19" s="29">
        <v>200</v>
      </c>
      <c r="P19" s="29">
        <v>200</v>
      </c>
      <c r="Q19" s="29">
        <v>200</v>
      </c>
    </row>
    <row r="20" spans="1:17" x14ac:dyDescent="0.2">
      <c r="A20" s="22" t="s">
        <v>32</v>
      </c>
      <c r="B20" s="131"/>
      <c r="C20" s="132"/>
      <c r="D20" s="132"/>
      <c r="E20" s="132"/>
      <c r="F20" s="133"/>
      <c r="G20" s="28"/>
      <c r="H20" s="44">
        <f>(H19/H17)</f>
        <v>6.4935064935064922E-3</v>
      </c>
      <c r="I20" s="44">
        <f t="shared" ref="I20:Q20" si="3">(I19/I17)</f>
        <v>7.9365079365079361E-3</v>
      </c>
      <c r="J20" s="44">
        <f t="shared" si="3"/>
        <v>7.326007326007326E-3</v>
      </c>
      <c r="K20" s="44">
        <f t="shared" si="3"/>
        <v>1.7006802721088437E-3</v>
      </c>
      <c r="L20" s="44">
        <f t="shared" si="3"/>
        <v>1.5873015873015873E-3</v>
      </c>
      <c r="M20" s="44">
        <f t="shared" si="3"/>
        <v>2.976190476190476E-3</v>
      </c>
      <c r="N20" s="44">
        <f t="shared" si="3"/>
        <v>2.8011204481792717E-3</v>
      </c>
      <c r="O20" s="44">
        <f t="shared" si="3"/>
        <v>2.6455026455026454E-3</v>
      </c>
      <c r="P20" s="44">
        <f t="shared" si="3"/>
        <v>2.5062656641604009E-3</v>
      </c>
      <c r="Q20" s="44">
        <f t="shared" si="3"/>
        <v>2.3809523809523812E-3</v>
      </c>
    </row>
    <row r="21" spans="1:17" x14ac:dyDescent="0.2">
      <c r="A21" s="22" t="s">
        <v>35</v>
      </c>
      <c r="B21" s="131"/>
      <c r="C21" s="132"/>
      <c r="D21" s="132"/>
      <c r="E21" s="132"/>
      <c r="F21" s="133"/>
      <c r="G21" s="45">
        <v>2.504400361543169E-2</v>
      </c>
      <c r="H21" s="46">
        <f>G21-H20</f>
        <v>1.8550497121925198E-2</v>
      </c>
      <c r="I21" s="46">
        <f t="shared" ref="I21:Q21" si="4">H21-I20</f>
        <v>1.0613989185417262E-2</v>
      </c>
      <c r="J21" s="46">
        <f t="shared" si="4"/>
        <v>3.2879818594099362E-3</v>
      </c>
      <c r="K21" s="46">
        <f t="shared" si="4"/>
        <v>1.5873015873010925E-3</v>
      </c>
      <c r="L21" s="46">
        <f t="shared" si="4"/>
        <v>-4.9482987152238422E-16</v>
      </c>
      <c r="M21" s="46">
        <f t="shared" si="4"/>
        <v>-2.9761904761909709E-3</v>
      </c>
      <c r="N21" s="46">
        <f t="shared" si="4"/>
        <v>-5.7773109243702426E-3</v>
      </c>
      <c r="O21" s="46">
        <f t="shared" si="4"/>
        <v>-8.4228135698728879E-3</v>
      </c>
      <c r="P21" s="46">
        <f t="shared" si="4"/>
        <v>-1.0929079234033289E-2</v>
      </c>
      <c r="Q21" s="46">
        <f t="shared" si="4"/>
        <v>-1.331003161498567E-2</v>
      </c>
    </row>
    <row r="22" spans="1:17" x14ac:dyDescent="0.2">
      <c r="A22" s="22" t="s">
        <v>34</v>
      </c>
      <c r="B22" s="134"/>
      <c r="C22" s="135"/>
      <c r="D22" s="135"/>
      <c r="E22" s="135"/>
      <c r="F22" s="136"/>
      <c r="G22" s="22"/>
      <c r="H22" s="30">
        <f>G22+H19</f>
        <v>300</v>
      </c>
      <c r="I22" s="30">
        <f>H22+I19</f>
        <v>700</v>
      </c>
      <c r="J22" s="30">
        <f>I22+J19</f>
        <v>1100</v>
      </c>
      <c r="K22" s="30">
        <f>J22+K19</f>
        <v>1200</v>
      </c>
      <c r="L22" s="30">
        <f>K22+L19</f>
        <v>1300</v>
      </c>
      <c r="M22" s="30">
        <f>L22+N19</f>
        <v>1500</v>
      </c>
      <c r="N22" s="30">
        <f>M22+O19</f>
        <v>1700</v>
      </c>
      <c r="O22" s="30">
        <f>N22+P19</f>
        <v>1900</v>
      </c>
      <c r="P22" s="30">
        <f>O22+Q19</f>
        <v>2100</v>
      </c>
      <c r="Q22" s="30">
        <f>P22+Q19</f>
        <v>2300</v>
      </c>
    </row>
    <row r="27" spans="1:17" x14ac:dyDescent="0.2">
      <c r="A27" s="41" t="s">
        <v>20</v>
      </c>
    </row>
    <row r="28" spans="1:17" ht="18" thickBot="1" x14ac:dyDescent="0.25">
      <c r="A28" s="33"/>
      <c r="B28" s="34">
        <v>-0.5</v>
      </c>
      <c r="C28" s="34">
        <v>-0.4</v>
      </c>
      <c r="D28" s="34">
        <v>-0.3</v>
      </c>
      <c r="E28" s="34">
        <v>-0.2</v>
      </c>
      <c r="F28" s="34">
        <v>-0.1</v>
      </c>
      <c r="G28" s="35" t="s">
        <v>29</v>
      </c>
      <c r="H28" s="36">
        <v>0.1</v>
      </c>
      <c r="I28" s="36" t="s">
        <v>18</v>
      </c>
      <c r="J28" s="36" t="s">
        <v>19</v>
      </c>
      <c r="K28" s="36">
        <v>0.4</v>
      </c>
      <c r="L28" s="36">
        <v>0.5</v>
      </c>
      <c r="M28" s="36">
        <v>0.6</v>
      </c>
      <c r="N28" s="36">
        <v>0.7</v>
      </c>
      <c r="O28" s="36">
        <v>0.8</v>
      </c>
      <c r="P28" s="36">
        <v>0.9</v>
      </c>
      <c r="Q28" s="36">
        <v>1</v>
      </c>
    </row>
    <row r="29" spans="1:17" x14ac:dyDescent="0.2">
      <c r="A29" s="31" t="s">
        <v>28</v>
      </c>
      <c r="B29" s="37">
        <f t="shared" ref="B29:H29" si="5">B5</f>
        <v>1100</v>
      </c>
      <c r="C29" s="37">
        <f t="shared" si="5"/>
        <v>1320</v>
      </c>
      <c r="D29" s="37">
        <f t="shared" si="5"/>
        <v>1540</v>
      </c>
      <c r="E29" s="37">
        <f t="shared" si="5"/>
        <v>1760</v>
      </c>
      <c r="F29" s="37">
        <f t="shared" si="5"/>
        <v>1980</v>
      </c>
      <c r="G29" s="24">
        <f t="shared" si="5"/>
        <v>2200</v>
      </c>
      <c r="H29" s="39">
        <f t="shared" si="5"/>
        <v>2420</v>
      </c>
      <c r="I29" s="39">
        <f t="shared" ref="I29:Q29" si="6">I5</f>
        <v>2640</v>
      </c>
      <c r="J29" s="39">
        <f t="shared" si="6"/>
        <v>2860</v>
      </c>
      <c r="K29" s="39">
        <f t="shared" si="6"/>
        <v>3080</v>
      </c>
      <c r="L29" s="39">
        <f t="shared" si="6"/>
        <v>3300</v>
      </c>
      <c r="M29" s="39">
        <f t="shared" si="6"/>
        <v>3520</v>
      </c>
      <c r="N29" s="39">
        <f t="shared" si="6"/>
        <v>3740</v>
      </c>
      <c r="O29" s="39">
        <f t="shared" si="6"/>
        <v>3960</v>
      </c>
      <c r="P29" s="39">
        <f t="shared" si="6"/>
        <v>4180</v>
      </c>
      <c r="Q29" s="39">
        <f t="shared" si="6"/>
        <v>4400</v>
      </c>
    </row>
    <row r="30" spans="1:17" x14ac:dyDescent="0.2">
      <c r="A30" s="22" t="s">
        <v>23</v>
      </c>
      <c r="B30" s="137" t="s">
        <v>30</v>
      </c>
      <c r="C30" s="138"/>
      <c r="D30" s="138"/>
      <c r="E30" s="138"/>
      <c r="F30" s="139"/>
      <c r="G30" s="24">
        <v>880</v>
      </c>
      <c r="H30" s="27">
        <f>$G30*1.1</f>
        <v>968.00000000000011</v>
      </c>
      <c r="I30" s="27">
        <f>(H30-H31)*1.1</f>
        <v>1064.8000000000002</v>
      </c>
      <c r="J30" s="27">
        <f t="shared" ref="J30:Q30" si="7">(I30-I31)*1.1</f>
        <v>1061.2800000000002</v>
      </c>
      <c r="K30" s="27">
        <f t="shared" si="7"/>
        <v>1057.4080000000004</v>
      </c>
      <c r="L30" s="27">
        <f t="shared" si="7"/>
        <v>1053.1488000000004</v>
      </c>
      <c r="M30" s="27">
        <f t="shared" si="7"/>
        <v>1048.4636800000005</v>
      </c>
      <c r="N30" s="27">
        <f t="shared" si="7"/>
        <v>1043.3100480000007</v>
      </c>
      <c r="O30" s="27">
        <f t="shared" si="7"/>
        <v>1037.6410528000008</v>
      </c>
      <c r="P30" s="27">
        <f t="shared" si="7"/>
        <v>1031.405158080001</v>
      </c>
      <c r="Q30" s="27">
        <f t="shared" si="7"/>
        <v>1024.5456738880011</v>
      </c>
    </row>
    <row r="31" spans="1:17" x14ac:dyDescent="0.2">
      <c r="A31" s="22" t="s">
        <v>31</v>
      </c>
      <c r="B31" s="140"/>
      <c r="C31" s="141"/>
      <c r="D31" s="141"/>
      <c r="E31" s="141"/>
      <c r="F31" s="142"/>
      <c r="G31" s="22">
        <v>0</v>
      </c>
      <c r="H31" s="40">
        <v>0</v>
      </c>
      <c r="I31" s="40">
        <v>100</v>
      </c>
      <c r="J31" s="40">
        <v>100</v>
      </c>
      <c r="K31" s="40">
        <v>100</v>
      </c>
      <c r="L31" s="40">
        <v>100</v>
      </c>
      <c r="M31" s="40">
        <v>100</v>
      </c>
      <c r="N31" s="40">
        <v>100</v>
      </c>
      <c r="O31" s="40">
        <v>100</v>
      </c>
      <c r="P31" s="40">
        <v>100</v>
      </c>
      <c r="Q31" s="40">
        <v>100</v>
      </c>
    </row>
    <row r="32" spans="1:17" x14ac:dyDescent="0.2">
      <c r="A32" s="22" t="s">
        <v>33</v>
      </c>
      <c r="B32" s="140"/>
      <c r="C32" s="141"/>
      <c r="D32" s="141"/>
      <c r="E32" s="141"/>
      <c r="F32" s="142"/>
      <c r="G32" s="22"/>
      <c r="H32" s="40">
        <f>(H31/H29)</f>
        <v>0</v>
      </c>
      <c r="I32" s="40">
        <f>(I31/I29)</f>
        <v>3.787878787878788E-2</v>
      </c>
      <c r="J32" s="40">
        <f t="shared" ref="J32:Q32" si="8">(J31/J29)</f>
        <v>3.4965034965034968E-2</v>
      </c>
      <c r="K32" s="40">
        <f t="shared" si="8"/>
        <v>3.2467532467532464E-2</v>
      </c>
      <c r="L32" s="40">
        <f t="shared" si="8"/>
        <v>3.0303030303030304E-2</v>
      </c>
      <c r="M32" s="40">
        <f t="shared" si="8"/>
        <v>2.8409090909090908E-2</v>
      </c>
      <c r="N32" s="40">
        <f t="shared" si="8"/>
        <v>2.6737967914438502E-2</v>
      </c>
      <c r="O32" s="40">
        <f t="shared" si="8"/>
        <v>2.5252525252525252E-2</v>
      </c>
      <c r="P32" s="40">
        <f t="shared" si="8"/>
        <v>2.3923444976076555E-2</v>
      </c>
      <c r="Q32" s="40">
        <f t="shared" si="8"/>
        <v>2.2727272727272728E-2</v>
      </c>
    </row>
    <row r="33" spans="1:17" x14ac:dyDescent="0.2">
      <c r="A33" s="22" t="s">
        <v>36</v>
      </c>
      <c r="B33" s="140"/>
      <c r="C33" s="141"/>
      <c r="D33" s="141"/>
      <c r="E33" s="141"/>
      <c r="F33" s="142"/>
      <c r="G33" s="47">
        <v>0.1356143856143856</v>
      </c>
      <c r="H33" s="40">
        <f>G33-H32</f>
        <v>0.1356143856143856</v>
      </c>
      <c r="I33" s="40">
        <f t="shared" ref="I33:Q33" si="9">H33-I32</f>
        <v>9.7735597735597729E-2</v>
      </c>
      <c r="J33" s="40">
        <f t="shared" si="9"/>
        <v>6.2770562770562754E-2</v>
      </c>
      <c r="K33" s="40">
        <f t="shared" si="9"/>
        <v>3.030303030303029E-2</v>
      </c>
      <c r="L33" s="40">
        <f t="shared" si="9"/>
        <v>0</v>
      </c>
      <c r="M33" s="40">
        <f t="shared" si="9"/>
        <v>-2.8409090909090908E-2</v>
      </c>
      <c r="N33" s="40">
        <f t="shared" si="9"/>
        <v>-5.514705882352941E-2</v>
      </c>
      <c r="O33" s="40">
        <f t="shared" si="9"/>
        <v>-8.0399584076054659E-2</v>
      </c>
      <c r="P33" s="40">
        <f t="shared" si="9"/>
        <v>-0.10432302905213121</v>
      </c>
      <c r="Q33" s="40">
        <f t="shared" si="9"/>
        <v>-0.12705030177940393</v>
      </c>
    </row>
    <row r="34" spans="1:17" x14ac:dyDescent="0.2">
      <c r="A34" s="22" t="s">
        <v>34</v>
      </c>
      <c r="B34" s="143"/>
      <c r="C34" s="144"/>
      <c r="D34" s="144"/>
      <c r="E34" s="144"/>
      <c r="F34" s="145"/>
      <c r="G34" s="22"/>
      <c r="H34" s="30">
        <f>G34+H31</f>
        <v>0</v>
      </c>
      <c r="I34" s="30">
        <f t="shared" ref="I34:Q34" si="10">H34+I31</f>
        <v>100</v>
      </c>
      <c r="J34" s="30">
        <f t="shared" si="10"/>
        <v>200</v>
      </c>
      <c r="K34" s="30">
        <f t="shared" si="10"/>
        <v>300</v>
      </c>
      <c r="L34" s="30">
        <f t="shared" si="10"/>
        <v>400</v>
      </c>
      <c r="M34" s="30">
        <f t="shared" si="10"/>
        <v>500</v>
      </c>
      <c r="N34" s="30">
        <f t="shared" si="10"/>
        <v>600</v>
      </c>
      <c r="O34" s="30">
        <f t="shared" si="10"/>
        <v>700</v>
      </c>
      <c r="P34" s="30">
        <f t="shared" si="10"/>
        <v>800</v>
      </c>
      <c r="Q34" s="30">
        <f t="shared" si="10"/>
        <v>900</v>
      </c>
    </row>
    <row r="39" spans="1:17" x14ac:dyDescent="0.2">
      <c r="A39" s="41" t="s">
        <v>50</v>
      </c>
      <c r="B39" s="56" t="s">
        <v>58</v>
      </c>
    </row>
    <row r="40" spans="1:17" x14ac:dyDescent="0.2">
      <c r="B40" s="21" t="s">
        <v>23</v>
      </c>
      <c r="C40" s="21" t="s">
        <v>57</v>
      </c>
    </row>
    <row r="41" spans="1:17" x14ac:dyDescent="0.2">
      <c r="A41" s="21" t="s">
        <v>51</v>
      </c>
      <c r="B41" s="21">
        <v>695</v>
      </c>
      <c r="C41" s="21">
        <v>536</v>
      </c>
    </row>
    <row r="42" spans="1:17" x14ac:dyDescent="0.2">
      <c r="A42" s="21" t="s">
        <v>52</v>
      </c>
      <c r="B42" s="21">
        <v>14011</v>
      </c>
      <c r="C42" s="21">
        <v>326</v>
      </c>
    </row>
    <row r="43" spans="1:17" x14ac:dyDescent="0.2">
      <c r="A43" s="21" t="s">
        <v>53</v>
      </c>
      <c r="B43" s="21">
        <v>1720</v>
      </c>
      <c r="C43" s="21">
        <v>303</v>
      </c>
    </row>
    <row r="44" spans="1:17" x14ac:dyDescent="0.2">
      <c r="A44" s="21" t="s">
        <v>54</v>
      </c>
      <c r="B44" s="21">
        <v>728</v>
      </c>
      <c r="C44" s="21">
        <v>230</v>
      </c>
    </row>
    <row r="45" spans="1:17" x14ac:dyDescent="0.2">
      <c r="A45" s="21" t="s">
        <v>55</v>
      </c>
      <c r="B45" s="21">
        <v>72</v>
      </c>
      <c r="C45" s="21">
        <v>164</v>
      </c>
    </row>
    <row r="46" spans="1:17" x14ac:dyDescent="0.2">
      <c r="A46" s="21" t="s">
        <v>56</v>
      </c>
      <c r="B46" s="21">
        <v>726</v>
      </c>
      <c r="C46" s="21">
        <v>118</v>
      </c>
    </row>
    <row r="47" spans="1:17" x14ac:dyDescent="0.2">
      <c r="C47" s="21">
        <f>SUM(C41:C46)</f>
        <v>1677</v>
      </c>
    </row>
  </sheetData>
  <mergeCells count="2">
    <mergeCell ref="B18:F22"/>
    <mergeCell ref="B30:F34"/>
  </mergeCell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EDA72-E2D0-7245-A599-234966031EF1}">
  <sheetPr>
    <tabColor rgb="FFFF6C5E"/>
  </sheetPr>
  <dimension ref="B2:F8"/>
  <sheetViews>
    <sheetView zoomScale="165" workbookViewId="0">
      <selection activeCell="F13" sqref="F13"/>
    </sheetView>
  </sheetViews>
  <sheetFormatPr baseColWidth="10" defaultRowHeight="15" x14ac:dyDescent="0.2"/>
  <cols>
    <col min="2" max="2" width="13.83203125" bestFit="1" customWidth="1"/>
    <col min="4" max="4" width="16.5" bestFit="1" customWidth="1"/>
    <col min="5" max="5" width="12.83203125" bestFit="1" customWidth="1"/>
    <col min="6" max="6" width="29.5" bestFit="1" customWidth="1"/>
  </cols>
  <sheetData>
    <row r="2" spans="2:6" x14ac:dyDescent="0.2">
      <c r="B2" s="71" t="s">
        <v>70</v>
      </c>
      <c r="C2" s="71" t="s">
        <v>71</v>
      </c>
      <c r="D2" s="71" t="s">
        <v>74</v>
      </c>
      <c r="E2" s="71" t="s">
        <v>72</v>
      </c>
      <c r="F2" s="71" t="s">
        <v>73</v>
      </c>
    </row>
    <row r="3" spans="2:6" x14ac:dyDescent="0.2">
      <c r="B3" s="71" t="s">
        <v>68</v>
      </c>
      <c r="C3" s="71">
        <v>5000</v>
      </c>
      <c r="D3" s="71">
        <v>39</v>
      </c>
      <c r="E3" s="71">
        <f>C3/D3</f>
        <v>128.2051282051282</v>
      </c>
      <c r="F3" s="71" t="s">
        <v>75</v>
      </c>
    </row>
    <row r="4" spans="2:6" x14ac:dyDescent="0.2">
      <c r="B4" s="71" t="s">
        <v>81</v>
      </c>
      <c r="C4" s="71">
        <v>2000</v>
      </c>
      <c r="D4" s="71">
        <v>12</v>
      </c>
      <c r="E4" s="71">
        <f>C4/D4</f>
        <v>166.66666666666666</v>
      </c>
      <c r="F4" s="71"/>
    </row>
    <row r="5" spans="2:6" x14ac:dyDescent="0.2">
      <c r="B5" s="71" t="s">
        <v>69</v>
      </c>
      <c r="C5" s="71">
        <v>6000</v>
      </c>
      <c r="D5" s="71">
        <f>12*5</f>
        <v>60</v>
      </c>
      <c r="E5" s="71">
        <f>C5/D5</f>
        <v>100</v>
      </c>
      <c r="F5" s="71"/>
    </row>
    <row r="6" spans="2:6" x14ac:dyDescent="0.2">
      <c r="B6" s="71" t="s">
        <v>78</v>
      </c>
      <c r="C6" s="71">
        <v>2000</v>
      </c>
      <c r="D6" s="71">
        <f>12*5</f>
        <v>60</v>
      </c>
      <c r="E6" s="71">
        <f>C6/D6</f>
        <v>33.333333333333336</v>
      </c>
      <c r="F6" s="71"/>
    </row>
    <row r="7" spans="2:6" x14ac:dyDescent="0.2">
      <c r="B7" s="71" t="s">
        <v>76</v>
      </c>
      <c r="C7" s="71">
        <v>5000</v>
      </c>
      <c r="D7" s="71">
        <f>12*3</f>
        <v>36</v>
      </c>
      <c r="E7" s="71">
        <f>C7/D7</f>
        <v>138.88888888888889</v>
      </c>
      <c r="F7" s="71" t="s">
        <v>77</v>
      </c>
    </row>
    <row r="8" spans="2:6" x14ac:dyDescent="0.2">
      <c r="E8">
        <f>SUM(E3:E7)</f>
        <v>567.09401709401709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53FD5-9892-7E42-8AC0-68A1971CF3A1}">
  <dimension ref="B2:B41"/>
  <sheetViews>
    <sheetView topLeftCell="A6" workbookViewId="0">
      <selection activeCell="B21" sqref="B21"/>
    </sheetView>
  </sheetViews>
  <sheetFormatPr baseColWidth="10" defaultRowHeight="15" x14ac:dyDescent="0.2"/>
  <cols>
    <col min="1" max="1" width="1.5" customWidth="1"/>
    <col min="2" max="2" width="16.6640625" bestFit="1" customWidth="1"/>
  </cols>
  <sheetData>
    <row r="2" spans="2:2" x14ac:dyDescent="0.2">
      <c r="B2" s="75" t="s">
        <v>89</v>
      </c>
    </row>
    <row r="3" spans="2:2" x14ac:dyDescent="0.2">
      <c r="B3" s="72" t="s">
        <v>85</v>
      </c>
    </row>
    <row r="4" spans="2:2" x14ac:dyDescent="0.2">
      <c r="B4" s="73" t="s">
        <v>142</v>
      </c>
    </row>
    <row r="5" spans="2:2" x14ac:dyDescent="0.2">
      <c r="B5" s="73" t="s">
        <v>14</v>
      </c>
    </row>
    <row r="6" spans="2:2" x14ac:dyDescent="0.2">
      <c r="B6" s="73" t="s">
        <v>15</v>
      </c>
    </row>
    <row r="7" spans="2:2" x14ac:dyDescent="0.2">
      <c r="B7" s="73" t="s">
        <v>87</v>
      </c>
    </row>
    <row r="8" spans="2:2" x14ac:dyDescent="0.2">
      <c r="B8" s="73" t="s">
        <v>88</v>
      </c>
    </row>
    <row r="9" spans="2:2" x14ac:dyDescent="0.2">
      <c r="B9" s="73" t="s">
        <v>86</v>
      </c>
    </row>
    <row r="10" spans="2:2" x14ac:dyDescent="0.2">
      <c r="B10" s="73" t="s">
        <v>188</v>
      </c>
    </row>
    <row r="11" spans="2:2" x14ac:dyDescent="0.2">
      <c r="B11" s="73"/>
    </row>
    <row r="12" spans="2:2" x14ac:dyDescent="0.2">
      <c r="B12" s="73"/>
    </row>
    <row r="13" spans="2:2" x14ac:dyDescent="0.2">
      <c r="B13" s="74"/>
    </row>
    <row r="15" spans="2:2" x14ac:dyDescent="0.2">
      <c r="B15" s="75" t="s">
        <v>106</v>
      </c>
    </row>
    <row r="16" spans="2:2" x14ac:dyDescent="0.2">
      <c r="B16" s="72" t="s">
        <v>107</v>
      </c>
    </row>
    <row r="17" spans="2:2" x14ac:dyDescent="0.2">
      <c r="B17" s="73" t="s">
        <v>99</v>
      </c>
    </row>
    <row r="18" spans="2:2" x14ac:dyDescent="0.2">
      <c r="B18" s="73" t="s">
        <v>69</v>
      </c>
    </row>
    <row r="19" spans="2:2" x14ac:dyDescent="0.2">
      <c r="B19" s="73" t="s">
        <v>163</v>
      </c>
    </row>
    <row r="20" spans="2:2" x14ac:dyDescent="0.2">
      <c r="B20" s="73" t="s">
        <v>68</v>
      </c>
    </row>
    <row r="21" spans="2:2" x14ac:dyDescent="0.2">
      <c r="B21" s="73"/>
    </row>
    <row r="22" spans="2:2" x14ac:dyDescent="0.2">
      <c r="B22" s="73"/>
    </row>
    <row r="23" spans="2:2" x14ac:dyDescent="0.2">
      <c r="B23" s="73"/>
    </row>
    <row r="24" spans="2:2" x14ac:dyDescent="0.2">
      <c r="B24" s="73"/>
    </row>
    <row r="25" spans="2:2" x14ac:dyDescent="0.2">
      <c r="B25" s="73"/>
    </row>
    <row r="26" spans="2:2" x14ac:dyDescent="0.2">
      <c r="B26" s="74"/>
    </row>
    <row r="28" spans="2:2" x14ac:dyDescent="0.2">
      <c r="B28" s="75" t="s">
        <v>128</v>
      </c>
    </row>
    <row r="29" spans="2:2" x14ac:dyDescent="0.2">
      <c r="B29" s="72" t="s">
        <v>49</v>
      </c>
    </row>
    <row r="30" spans="2:2" x14ac:dyDescent="0.2">
      <c r="B30" s="73" t="s">
        <v>94</v>
      </c>
    </row>
    <row r="31" spans="2:2" x14ac:dyDescent="0.2">
      <c r="B31" s="73" t="s">
        <v>64</v>
      </c>
    </row>
    <row r="32" spans="2:2" x14ac:dyDescent="0.2">
      <c r="B32" s="73" t="s">
        <v>65</v>
      </c>
    </row>
    <row r="33" spans="2:2" x14ac:dyDescent="0.2">
      <c r="B33" s="73" t="s">
        <v>96</v>
      </c>
    </row>
    <row r="34" spans="2:2" x14ac:dyDescent="0.2">
      <c r="B34" s="73" t="s">
        <v>95</v>
      </c>
    </row>
    <row r="35" spans="2:2" x14ac:dyDescent="0.2">
      <c r="B35" s="73" t="s">
        <v>97</v>
      </c>
    </row>
    <row r="36" spans="2:2" x14ac:dyDescent="0.2">
      <c r="B36" s="73" t="s">
        <v>59</v>
      </c>
    </row>
    <row r="37" spans="2:2" x14ac:dyDescent="0.2">
      <c r="B37" s="73" t="s">
        <v>79</v>
      </c>
    </row>
    <row r="38" spans="2:2" x14ac:dyDescent="0.2">
      <c r="B38" s="72" t="s">
        <v>107</v>
      </c>
    </row>
    <row r="39" spans="2:2" x14ac:dyDescent="0.2">
      <c r="B39" s="73" t="s">
        <v>99</v>
      </c>
    </row>
    <row r="40" spans="2:2" x14ac:dyDescent="0.2">
      <c r="B40" s="73" t="s">
        <v>69</v>
      </c>
    </row>
    <row r="41" spans="2:2" x14ac:dyDescent="0.2">
      <c r="B41" s="7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0E31316-0A7A-AC4E-8308-C9DE3BC534F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11</vt:i4>
      </vt:variant>
      <vt:variant>
        <vt:lpstr>Named Ranges</vt:lpstr>
      </vt:variant>
      <vt:variant>
        <vt:i4>5</vt:i4>
      </vt:variant>
    </vt:vector>
  </HeadingPairs>
  <TitlesOfParts>
    <vt:vector size="16" baseType="lpstr">
      <vt:lpstr>Net Worth Dashboard</vt:lpstr>
      <vt:lpstr>Net Worth Input</vt:lpstr>
      <vt:lpstr>Montly Expenses</vt:lpstr>
      <vt:lpstr>Other Expenditure</vt:lpstr>
      <vt:lpstr>Calcs</vt:lpstr>
      <vt:lpstr>Projections</vt:lpstr>
      <vt:lpstr>WEEKLY</vt:lpstr>
      <vt:lpstr>PENSION</vt:lpstr>
      <vt:lpstr>CRYPTO</vt:lpstr>
      <vt:lpstr>GOALS</vt:lpstr>
      <vt:lpstr>Lists</vt:lpstr>
      <vt:lpstr>Accounts</vt:lpstr>
      <vt:lpstr>ExpenditureCat</vt:lpstr>
      <vt:lpstr>Income</vt:lpstr>
      <vt:lpstr>Invested</vt:lpstr>
      <vt:lpstr>OtherExpenditureCat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dc:creator>
  <cp:lastModifiedBy>Jack Bahou</cp:lastModifiedBy>
  <dcterms:created xsi:type="dcterms:W3CDTF">2018-04-26T23:03:35Z</dcterms:created>
  <dcterms:modified xsi:type="dcterms:W3CDTF">2026-06-06T22:30:38Z</dcterms:modified>
</cp:coreProperties>
</file>